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Info" sheetId="1" state="visible" r:id="rId1"/>
    <sheet name="Hypergeometric Calculator" sheetId="2" state="visible" r:id="rId2"/>
    <sheet name="Benchmarks by Card Role" sheetId="3" state="visible" r:id="rId3"/>
    <sheet name="Land Types" sheetId="4" state="visible" r:id="rId4"/>
    <sheet name="Mana Curve" sheetId="5" state="visible" r:id="rId5"/>
    <sheet name="Deck 1 - Superfriends" sheetId="6" state="visible" r:id="rId6"/>
    <sheet name="Data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1" t="inlineStr">
        <is>
          <t>Statsfinity – Deckbuilding benchmarks</t>
        </is>
      </c>
    </row>
    <row r="2">
      <c r="A2" t="inlineStr"/>
    </row>
    <row r="3">
      <c r="A3" t="inlineStr">
        <is>
          <t>This sheet comes from the Statsfinity community: two players used it to optimize their Commander decks.</t>
        </is>
      </c>
    </row>
    <row r="4">
      <c r="A4" t="inlineStr">
        <is>
          <t>Statsfinity's deck check takes the ranges and play styles from it (sheet “Benchmarks by Card Role”):</t>
        </is>
      </c>
    </row>
    <row r="5">
      <c r="A5" t="inlineStr">
        <is>
          <t>Lands 29–37 · Ramp 9–17 · Card draw 7–15 · Single target removal 7–15 · Board wipes 0–8 · Win cons ~3 (±3).</t>
        </is>
      </c>
    </row>
    <row r="6">
      <c r="A6" t="inlineStr">
        <is>
          <t>The target starts in the middle of each range; every matching play style moves it a quarter of the range towards “fewer” or “more”.</t>
        </is>
      </c>
    </row>
    <row r="7">
      <c r="A7" t="inlineStr">
        <is>
          <t>Statsfinity reads the curve (low/high) from the average mana value: up to 2.8 low, from 3.6 high.</t>
        </is>
      </c>
    </row>
    <row r="8">
      <c r="A8" t="inlineStr">
        <is>
          <t>Double-faced cards with a land back: count 1:1 if the land can enter untapped (e.g. pay 3 life), otherwise 0.38 (Frank Karsten).</t>
        </is>
      </c>
    </row>
    <row r="9">
      <c r="A9" t="inlineStr"/>
    </row>
    <row r="10">
      <c r="A10" t="inlineStr">
        <is>
          <t>The probabilities (“At least 1 by turn X”) are hypergeometric; the sheet “Hypergeometric Calculator” computes any case of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B16" sqref="B16"/>
    </sheetView>
  </sheetViews>
  <sheetFormatPr baseColWidth="10" defaultColWidth="9.140625" defaultRowHeight="15"/>
  <cols>
    <col width="16.28515625" bestFit="1" customWidth="1" style="9" min="1" max="1"/>
    <col width="40" bestFit="1" customWidth="1" style="9" min="2" max="2"/>
    <col width="5.42578125" bestFit="1" customWidth="1" style="9" min="3" max="3"/>
    <col width="1.85546875" customWidth="1" style="9" min="4" max="4"/>
    <col width="8.140625" bestFit="1" customWidth="1" style="9" min="5" max="5"/>
    <col width="5.5703125" bestFit="1" customWidth="1" style="9" min="6" max="6"/>
    <col width="2" customWidth="1" style="9" min="7" max="7"/>
    <col width="12.85546875" bestFit="1" customWidth="1" style="9" min="8" max="8"/>
    <col width="5.5703125" bestFit="1" customWidth="1" style="9" min="9" max="9"/>
    <col width="1.85546875" customWidth="1" style="9" min="10" max="10"/>
    <col width="11.5703125" bestFit="1" customWidth="1" style="9" min="11" max="11"/>
    <col width="5.5703125" bestFit="1" customWidth="1" style="9" min="12" max="12"/>
    <col width="9.140625" customWidth="1" style="9" min="13" max="16384"/>
  </cols>
  <sheetData>
    <row r="1">
      <c r="A1" s="9" t="inlineStr">
        <is>
          <t>Parameter</t>
        </is>
      </c>
      <c r="B1" s="9" t="inlineStr">
        <is>
          <t>Description</t>
        </is>
      </c>
      <c r="C1" s="9" t="inlineStr">
        <is>
          <t>Value</t>
        </is>
      </c>
      <c r="E1" s="6" t="inlineStr">
        <is>
          <t>Results (percent)</t>
        </is>
      </c>
    </row>
    <row r="2">
      <c r="A2" s="9" t="inlineStr">
        <is>
          <t>Cards in deck</t>
        </is>
      </c>
      <c r="B2" s="9" t="inlineStr">
        <is>
          <t>99 normally</t>
        </is>
      </c>
      <c r="C2" s="2" t="n">
        <v>99</v>
      </c>
      <c r="E2" s="9" t="inlineStr">
        <is>
          <t>Exactly 0</t>
        </is>
      </c>
      <c r="F2" s="3">
        <f>Data!B1*100</f>
        <v/>
      </c>
      <c r="I2" s="3" t="n"/>
    </row>
    <row r="3">
      <c r="A3" s="9" t="inlineStr">
        <is>
          <t>Cards drawn</t>
        </is>
      </c>
      <c r="B3" s="9" t="inlineStr">
        <is>
          <t>Depends on the turn</t>
        </is>
      </c>
      <c r="C3" s="2" t="n">
        <v>10</v>
      </c>
      <c r="E3" s="9" t="inlineStr">
        <is>
          <t>Exactly 1</t>
        </is>
      </c>
      <c r="F3" s="3">
        <f>Data!B2*100</f>
        <v/>
      </c>
      <c r="H3" s="9" t="inlineStr">
        <is>
          <t>At least 1</t>
        </is>
      </c>
      <c r="I3" s="3">
        <f>SUM(F3:F7)</f>
        <v/>
      </c>
      <c r="K3" s="9" t="inlineStr">
        <is>
          <t>At most 1</t>
        </is>
      </c>
      <c r="L3" s="3">
        <f>100-I3</f>
        <v/>
      </c>
    </row>
    <row r="4">
      <c r="A4" s="9" t="inlineStr">
        <is>
          <t>Hits in deck</t>
        </is>
      </c>
      <c r="B4" s="9" t="inlineStr">
        <is>
          <t>How many cards in the deck are the right ones</t>
        </is>
      </c>
      <c r="C4" s="2" t="n">
        <v>13</v>
      </c>
      <c r="E4" s="9" t="inlineStr">
        <is>
          <t>Exactly 2</t>
        </is>
      </c>
      <c r="F4" s="3">
        <f>Data!B3*100</f>
        <v/>
      </c>
      <c r="H4" s="9" t="inlineStr">
        <is>
          <t>At least 2</t>
        </is>
      </c>
      <c r="I4" s="3">
        <f>SUM(F4:F7)</f>
        <v/>
      </c>
      <c r="K4" s="9" t="inlineStr">
        <is>
          <t>At most 2</t>
        </is>
      </c>
      <c r="L4" s="3">
        <f>100-I4</f>
        <v/>
      </c>
    </row>
    <row r="5">
      <c r="E5" s="9" t="inlineStr">
        <is>
          <t>Exactly 3</t>
        </is>
      </c>
      <c r="F5" s="3">
        <f>Data!B4*100</f>
        <v/>
      </c>
      <c r="H5" s="9" t="inlineStr">
        <is>
          <t>At least 3</t>
        </is>
      </c>
      <c r="I5" s="3">
        <f>SUM(F5:F7)</f>
        <v/>
      </c>
      <c r="K5" s="9" t="inlineStr">
        <is>
          <t>At most 3</t>
        </is>
      </c>
      <c r="L5" s="3">
        <f>100-I5</f>
        <v/>
      </c>
    </row>
    <row r="6">
      <c r="E6" s="9" t="inlineStr">
        <is>
          <t>Exactly 4</t>
        </is>
      </c>
      <c r="F6" s="3">
        <f>Data!B5*100</f>
        <v/>
      </c>
      <c r="H6" s="9" t="inlineStr">
        <is>
          <t>At least 4</t>
        </is>
      </c>
      <c r="I6" s="3">
        <f>SUM(F6:F7)</f>
        <v/>
      </c>
      <c r="K6" s="9" t="inlineStr">
        <is>
          <t>At most 4</t>
        </is>
      </c>
      <c r="L6" s="3">
        <f>100-I6</f>
        <v/>
      </c>
    </row>
    <row r="7">
      <c r="E7" s="9" t="inlineStr">
        <is>
          <t>Exactly 5</t>
        </is>
      </c>
      <c r="F7" s="3">
        <f>Data!B6*100</f>
        <v/>
      </c>
      <c r="H7" s="9" t="inlineStr">
        <is>
          <t>At least 5</t>
        </is>
      </c>
      <c r="I7" s="3">
        <f>SUM(F7:F7)</f>
        <v/>
      </c>
      <c r="K7" s="9" t="inlineStr">
        <is>
          <t>At most 5</t>
        </is>
      </c>
      <c r="L7" s="3">
        <f>100-I7</f>
        <v/>
      </c>
    </row>
  </sheetData>
  <mergeCells count="1">
    <mergeCell ref="E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tabSelected="1" workbookViewId="0">
      <selection activeCell="B1" sqref="B1"/>
    </sheetView>
  </sheetViews>
  <sheetFormatPr baseColWidth="10" defaultRowHeight="15"/>
  <cols>
    <col width="5" bestFit="1" customWidth="1" style="9" min="1" max="1"/>
    <col width="14" bestFit="1" customWidth="1" style="9" min="2" max="2"/>
    <col width="23.7109375" bestFit="1" customWidth="1" style="9" min="3" max="3"/>
    <col width="4.5703125" bestFit="1" customWidth="1" style="9" min="4" max="12"/>
    <col width="30.7109375" bestFit="1" customWidth="1" style="9" min="13" max="13"/>
    <col width="14" bestFit="1" customWidth="1" style="9" min="14" max="14"/>
    <col width="5" bestFit="1" customWidth="1" style="9" min="15" max="15"/>
    <col width="16.42578125" customWidth="1" style="9" min="16" max="16"/>
    <col width="17.5703125" customWidth="1" style="9" min="17" max="17"/>
    <col width="21.7109375" customWidth="1" style="9" min="18" max="18"/>
    <col width="15.5703125" customWidth="1" style="9" min="19" max="19"/>
    <col width="11.42578125" customWidth="1" style="9" min="20" max="16384"/>
  </cols>
  <sheetData>
    <row r="1">
      <c r="A1" s="9" t="inlineStr">
        <is>
          <t>Turn</t>
        </is>
      </c>
      <c r="C1" s="9" t="inlineStr">
        <is>
          <t>Deck types</t>
        </is>
      </c>
      <c r="D1" s="7" t="inlineStr">
        <is>
          <t>Lands</t>
        </is>
      </c>
      <c r="M1" s="9" t="inlineStr">
        <is>
          <t>Deck types</t>
        </is>
      </c>
      <c r="O1" s="9" t="inlineStr">
        <is>
          <t>Turn</t>
        </is>
      </c>
      <c r="P1" s="9" t="inlineStr">
        <is>
          <t>Notes</t>
        </is>
      </c>
    </row>
    <row r="2">
      <c r="C2" s="9" t="inlineStr">
        <is>
          <t>cEDH</t>
        </is>
      </c>
      <c r="D2" s="9" t="n">
        <v>29</v>
      </c>
      <c r="E2" s="9" t="n">
        <v>30</v>
      </c>
      <c r="F2" s="9" t="n">
        <v>31</v>
      </c>
      <c r="G2" s="9" t="n">
        <v>32</v>
      </c>
      <c r="H2" s="9" t="n">
        <v>33</v>
      </c>
      <c r="I2" s="9" t="n">
        <v>34</v>
      </c>
      <c r="J2" s="9" t="n">
        <v>35</v>
      </c>
      <c r="K2" s="9" t="n">
        <v>36</v>
      </c>
      <c r="L2" s="9" t="n">
        <v>37</v>
      </c>
      <c r="M2" s="9" t="inlineStr">
        <is>
          <t>Landfall</t>
        </is>
      </c>
      <c r="P2" s="10" t="inlineStr">
        <is>
          <t>More untapped lands = better
MDFC lands replace lands 1:1 (max. 5 or 6 because they are slow)</t>
        </is>
      </c>
    </row>
    <row r="3">
      <c r="B3" s="9" t="inlineStr">
        <is>
          <t>At least 1 by turn X</t>
        </is>
      </c>
      <c r="C3" s="9" t="inlineStr">
        <is>
          <t>Low curve</t>
        </is>
      </c>
      <c r="D3" s="8" t="inlineStr">
        <is>
          <t>Average number drawn</t>
        </is>
      </c>
      <c r="M3" s="9" t="inlineStr">
        <is>
          <t>High curve</t>
        </is>
      </c>
      <c r="N3" s="9" t="inlineStr">
        <is>
          <t>At least 1 by turn X</t>
        </is>
      </c>
    </row>
    <row r="4">
      <c r="A4" s="9" t="n">
        <v>1</v>
      </c>
      <c r="B4" s="3">
        <f>SUM(Data!F2:F9)*100</f>
        <v/>
      </c>
      <c r="D4" s="3">
        <f>Data!F10</f>
        <v/>
      </c>
      <c r="E4" s="3">
        <f>Data!G10</f>
        <v/>
      </c>
      <c r="F4" s="3">
        <f>Data!H10</f>
        <v/>
      </c>
      <c r="G4" s="3">
        <f>Data!I10</f>
        <v/>
      </c>
      <c r="H4" s="3">
        <f>Data!J10</f>
        <v/>
      </c>
      <c r="I4" s="3">
        <f>Data!K10</f>
        <v/>
      </c>
      <c r="J4" s="3">
        <f>Data!L10</f>
        <v/>
      </c>
      <c r="K4" s="3">
        <f>Data!M10</f>
        <v/>
      </c>
      <c r="L4" s="3">
        <f>Data!N10</f>
        <v/>
      </c>
      <c r="N4" s="3">
        <f>SUM(Data!N2:N9)*100</f>
        <v/>
      </c>
      <c r="O4" s="9" t="n">
        <v>1</v>
      </c>
    </row>
    <row r="5">
      <c r="A5" s="9" t="n">
        <v>2</v>
      </c>
      <c r="B5" s="3">
        <f>SUM(Data!F12:F20)*100</f>
        <v/>
      </c>
      <c r="D5" s="3">
        <f>Data!F21</f>
        <v/>
      </c>
      <c r="E5" s="3">
        <f>Data!G21</f>
        <v/>
      </c>
      <c r="F5" s="3">
        <f>Data!H21</f>
        <v/>
      </c>
      <c r="G5" s="3">
        <f>Data!I21</f>
        <v/>
      </c>
      <c r="H5" s="3">
        <f>Data!J21</f>
        <v/>
      </c>
      <c r="I5" s="3">
        <f>Data!K21</f>
        <v/>
      </c>
      <c r="J5" s="3">
        <f>Data!L21</f>
        <v/>
      </c>
      <c r="K5" s="3">
        <f>Data!M21</f>
        <v/>
      </c>
      <c r="L5" s="3">
        <f>Data!N21</f>
        <v/>
      </c>
      <c r="N5" s="3" t="n">
        <v>100</v>
      </c>
      <c r="O5" s="9" t="n">
        <v>2</v>
      </c>
    </row>
    <row r="6">
      <c r="A6" s="9" t="n">
        <v>3</v>
      </c>
      <c r="B6" s="3">
        <f>B5</f>
        <v/>
      </c>
      <c r="D6" s="3">
        <f>Data!F32</f>
        <v/>
      </c>
      <c r="E6" s="3">
        <f>Data!G32</f>
        <v/>
      </c>
      <c r="F6" s="3">
        <f>Data!H32</f>
        <v/>
      </c>
      <c r="G6" s="3">
        <f>Data!I32</f>
        <v/>
      </c>
      <c r="H6" s="3">
        <f>Data!J32</f>
        <v/>
      </c>
      <c r="I6" s="3">
        <f>Data!K32</f>
        <v/>
      </c>
      <c r="J6" s="3">
        <f>Data!L32</f>
        <v/>
      </c>
      <c r="K6" s="3">
        <f>Data!M32</f>
        <v/>
      </c>
      <c r="L6" s="3">
        <f>Data!N32</f>
        <v/>
      </c>
      <c r="N6" s="3">
        <f>N5</f>
        <v/>
      </c>
      <c r="O6" s="9" t="n">
        <v>3</v>
      </c>
    </row>
    <row r="7">
      <c r="A7" s="9" t="n">
        <v>4</v>
      </c>
      <c r="B7" s="3">
        <f>B6</f>
        <v/>
      </c>
      <c r="D7" s="3">
        <f>Data!F43</f>
        <v/>
      </c>
      <c r="E7" s="3">
        <f>Data!G43</f>
        <v/>
      </c>
      <c r="F7" s="3">
        <f>Data!H43</f>
        <v/>
      </c>
      <c r="G7" s="3">
        <f>Data!I43</f>
        <v/>
      </c>
      <c r="H7" s="3">
        <f>Data!J43</f>
        <v/>
      </c>
      <c r="I7" s="3">
        <f>Data!K43</f>
        <v/>
      </c>
      <c r="J7" s="3">
        <f>Data!L43</f>
        <v/>
      </c>
      <c r="K7" s="3">
        <f>Data!M43</f>
        <v/>
      </c>
      <c r="L7" s="3">
        <f>Data!N43</f>
        <v/>
      </c>
      <c r="N7" s="3">
        <f>N6</f>
        <v/>
      </c>
      <c r="O7" s="9" t="n">
        <v>4</v>
      </c>
    </row>
    <row r="8">
      <c r="A8" s="9" t="n">
        <v>5</v>
      </c>
      <c r="B8" s="3">
        <f>B7</f>
        <v/>
      </c>
      <c r="D8" s="3">
        <f>Data!F54</f>
        <v/>
      </c>
      <c r="E8" s="3">
        <f>Data!G54</f>
        <v/>
      </c>
      <c r="F8" s="3">
        <f>Data!H54</f>
        <v/>
      </c>
      <c r="G8" s="3">
        <f>Data!I54</f>
        <v/>
      </c>
      <c r="H8" s="3">
        <f>Data!J54</f>
        <v/>
      </c>
      <c r="I8" s="3">
        <f>Data!K54</f>
        <v/>
      </c>
      <c r="J8" s="3">
        <f>Data!L54</f>
        <v/>
      </c>
      <c r="K8" s="3">
        <f>Data!M54</f>
        <v/>
      </c>
      <c r="L8" s="3">
        <f>Data!N54</f>
        <v/>
      </c>
      <c r="N8" s="3">
        <f>N7</f>
        <v/>
      </c>
      <c r="O8" s="9" t="n">
        <v>5</v>
      </c>
    </row>
    <row r="9"/>
    <row r="10"/>
    <row r="11">
      <c r="A11" s="9" t="inlineStr">
        <is>
          <t>Turn</t>
        </is>
      </c>
      <c r="C11" s="9" t="inlineStr">
        <is>
          <t>Deck types</t>
        </is>
      </c>
      <c r="D11" s="7" t="inlineStr">
        <is>
          <t>Card draw</t>
        </is>
      </c>
      <c r="M11" s="9" t="inlineStr">
        <is>
          <t>Deck types</t>
        </is>
      </c>
      <c r="O11" s="9" t="inlineStr">
        <is>
          <t>Turn</t>
        </is>
      </c>
      <c r="P11" s="9" t="inlineStr">
        <is>
          <t>Notes</t>
        </is>
      </c>
    </row>
    <row r="12">
      <c r="C12" s="9" t="inlineStr">
        <is>
          <t>Commander with draw</t>
        </is>
      </c>
      <c r="D12" s="9" t="n">
        <v>7</v>
      </c>
      <c r="E12" s="9" t="n">
        <v>8</v>
      </c>
      <c r="F12" s="9" t="n">
        <v>9</v>
      </c>
      <c r="G12" s="9" t="n">
        <v>10</v>
      </c>
      <c r="H12" s="9" t="n">
        <v>11</v>
      </c>
      <c r="I12" s="9" t="n">
        <v>12</v>
      </c>
      <c r="J12" s="9" t="n">
        <v>13</v>
      </c>
      <c r="K12" s="9" t="n">
        <v>14</v>
      </c>
      <c r="L12" s="9" t="n">
        <v>15</v>
      </c>
      <c r="M12" s="9" t="inlineStr">
        <is>
          <t>Combo</t>
        </is>
      </c>
      <c r="P12" s="10" t="inlineStr">
        <is>
          <t>Burst draw (Treasure Cruise)
Card advantage (Phyrexian Arena)</t>
        </is>
      </c>
    </row>
    <row r="13">
      <c r="B13" s="9" t="inlineStr">
        <is>
          <t>At least 1 by turn X</t>
        </is>
      </c>
      <c r="C13" s="9" t="inlineStr">
        <is>
          <t>Aggro</t>
        </is>
      </c>
      <c r="D13" s="8" t="inlineStr">
        <is>
          <t>Average number drawn</t>
        </is>
      </c>
      <c r="M13" s="9" t="inlineStr">
        <is>
          <t>Control</t>
        </is>
      </c>
      <c r="N13" s="9" t="inlineStr">
        <is>
          <t>At least 1 by turn X</t>
        </is>
      </c>
    </row>
    <row r="14">
      <c r="A14" s="9" t="n">
        <v>1</v>
      </c>
      <c r="B14" s="3">
        <f>SUM(Data!P2:P9)*100</f>
        <v/>
      </c>
      <c r="D14" s="3">
        <f>Data!P10</f>
        <v/>
      </c>
      <c r="E14" s="3">
        <f>Data!Q10</f>
        <v/>
      </c>
      <c r="F14" s="3">
        <f>Data!R10</f>
        <v/>
      </c>
      <c r="G14" s="3">
        <f>Data!S10</f>
        <v/>
      </c>
      <c r="H14" s="3">
        <f>Data!T10</f>
        <v/>
      </c>
      <c r="I14" s="3">
        <f>Data!U10</f>
        <v/>
      </c>
      <c r="J14" s="3">
        <f>Data!V10</f>
        <v/>
      </c>
      <c r="K14" s="3">
        <f>Data!W10</f>
        <v/>
      </c>
      <c r="L14" s="3">
        <f>Data!X10</f>
        <v/>
      </c>
      <c r="N14" s="3">
        <f>SUM(Data!X2:X9)*100</f>
        <v/>
      </c>
      <c r="O14" s="9" t="n">
        <v>1</v>
      </c>
    </row>
    <row r="15">
      <c r="A15" s="9" t="n">
        <v>2</v>
      </c>
      <c r="B15" s="3">
        <f>SUM(Data!P13:P20)*100</f>
        <v/>
      </c>
      <c r="D15" s="3">
        <f>Data!P21</f>
        <v/>
      </c>
      <c r="E15" s="3">
        <f>Data!Q21</f>
        <v/>
      </c>
      <c r="F15" s="3">
        <f>Data!R21</f>
        <v/>
      </c>
      <c r="G15" s="3">
        <f>Data!S21</f>
        <v/>
      </c>
      <c r="H15" s="3">
        <f>Data!T21</f>
        <v/>
      </c>
      <c r="I15" s="3">
        <f>Data!U21</f>
        <v/>
      </c>
      <c r="J15" s="3">
        <f>Data!V21</f>
        <v/>
      </c>
      <c r="K15" s="3">
        <f>Data!W21</f>
        <v/>
      </c>
      <c r="L15" s="3">
        <f>Data!X21</f>
        <v/>
      </c>
      <c r="N15" s="3">
        <f>SUM(Data!X13:X20)*100</f>
        <v/>
      </c>
      <c r="O15" s="9" t="n">
        <v>2</v>
      </c>
    </row>
    <row r="16">
      <c r="A16" s="9" t="n">
        <v>3</v>
      </c>
      <c r="B16" s="3">
        <f>SUM(Data!P24:P31)*100</f>
        <v/>
      </c>
      <c r="D16" s="3">
        <f>Data!P32</f>
        <v/>
      </c>
      <c r="E16" s="3">
        <f>Data!Q32</f>
        <v/>
      </c>
      <c r="F16" s="3">
        <f>Data!R32</f>
        <v/>
      </c>
      <c r="G16" s="3">
        <f>Data!S32</f>
        <v/>
      </c>
      <c r="H16" s="3">
        <f>Data!T32</f>
        <v/>
      </c>
      <c r="I16" s="3">
        <f>Data!U32</f>
        <v/>
      </c>
      <c r="J16" s="3">
        <f>Data!V32</f>
        <v/>
      </c>
      <c r="K16" s="3">
        <f>Data!W32</f>
        <v/>
      </c>
      <c r="L16" s="3">
        <f>Data!X32</f>
        <v/>
      </c>
      <c r="N16" s="3">
        <f>SUM(Data!X24:X31)*100</f>
        <v/>
      </c>
      <c r="O16" s="9" t="n">
        <v>3</v>
      </c>
    </row>
    <row r="17">
      <c r="A17" s="9" t="n">
        <v>4</v>
      </c>
      <c r="B17" s="3">
        <f>SUM(Data!P35:P42)*100</f>
        <v/>
      </c>
      <c r="D17" s="3">
        <f>Data!P43</f>
        <v/>
      </c>
      <c r="E17" s="3">
        <f>Data!Q43</f>
        <v/>
      </c>
      <c r="F17" s="3">
        <f>Data!R43</f>
        <v/>
      </c>
      <c r="G17" s="3">
        <f>Data!S43</f>
        <v/>
      </c>
      <c r="H17" s="3">
        <f>Data!T43</f>
        <v/>
      </c>
      <c r="I17" s="3">
        <f>Data!U43</f>
        <v/>
      </c>
      <c r="J17" s="3">
        <f>Data!V43</f>
        <v/>
      </c>
      <c r="K17" s="3">
        <f>Data!W43</f>
        <v/>
      </c>
      <c r="L17" s="3">
        <f>Data!X43</f>
        <v/>
      </c>
      <c r="N17" s="3">
        <f>SUM(Data!X35:X42)*100</f>
        <v/>
      </c>
      <c r="O17" s="9" t="n">
        <v>4</v>
      </c>
    </row>
    <row r="18">
      <c r="A18" s="9" t="n">
        <v>5</v>
      </c>
      <c r="B18" s="3">
        <f>SUM(Data!P46:P53)*100</f>
        <v/>
      </c>
      <c r="D18" s="3">
        <f>Data!P54</f>
        <v/>
      </c>
      <c r="E18" s="3">
        <f>Data!Q54</f>
        <v/>
      </c>
      <c r="F18" s="3">
        <f>Data!R54</f>
        <v/>
      </c>
      <c r="G18" s="3">
        <f>Data!S54</f>
        <v/>
      </c>
      <c r="H18" s="3">
        <f>Data!T54</f>
        <v/>
      </c>
      <c r="I18" s="3">
        <f>Data!U54</f>
        <v/>
      </c>
      <c r="J18" s="3">
        <f>Data!V54</f>
        <v/>
      </c>
      <c r="K18" s="3">
        <f>Data!W54</f>
        <v/>
      </c>
      <c r="L18" s="3">
        <f>Data!X54</f>
        <v/>
      </c>
      <c r="N18" s="3">
        <f>SUM(Data!X46:X53)*100</f>
        <v/>
      </c>
      <c r="O18" s="9" t="n">
        <v>5</v>
      </c>
    </row>
    <row r="19"/>
    <row r="20"/>
    <row r="21">
      <c r="A21" s="9" t="inlineStr">
        <is>
          <t>Turn</t>
        </is>
      </c>
      <c r="C21" s="9" t="inlineStr">
        <is>
          <t>Deck types</t>
        </is>
      </c>
      <c r="D21" s="7" t="inlineStr">
        <is>
          <t>Single target removal</t>
        </is>
      </c>
      <c r="M21" s="9" t="inlineStr">
        <is>
          <t>Deck types</t>
        </is>
      </c>
      <c r="O21" s="9" t="inlineStr">
        <is>
          <t>Turn</t>
        </is>
      </c>
      <c r="P21" s="9" t="inlineStr">
        <is>
          <t>Notes</t>
        </is>
      </c>
    </row>
    <row r="22">
      <c r="C22" s="9" t="inlineStr">
        <is>
          <t>Commander with removal</t>
        </is>
      </c>
      <c r="D22" s="9" t="n">
        <v>7</v>
      </c>
      <c r="E22" s="9" t="n">
        <v>8</v>
      </c>
      <c r="F22" s="9" t="n">
        <v>9</v>
      </c>
      <c r="G22" s="9" t="n">
        <v>10</v>
      </c>
      <c r="H22" s="9" t="n">
        <v>11</v>
      </c>
      <c r="I22" s="9" t="n">
        <v>12</v>
      </c>
      <c r="J22" s="9" t="n">
        <v>13</v>
      </c>
      <c r="K22" s="9" t="n">
        <v>14</v>
      </c>
      <c r="L22" s="9" t="n">
        <v>15</v>
      </c>
      <c r="M22" s="9" t="inlineStr">
        <is>
          <t>Weak to one card type</t>
        </is>
      </c>
      <c r="P22" s="10" t="inlineStr">
        <is>
          <t>1:1 (Path to Exile)
2:1 or 3:1 (Soul Shatter)
Counterspells (also 1:1)</t>
        </is>
      </c>
    </row>
    <row r="23">
      <c r="B23" s="9" t="inlineStr">
        <is>
          <t>At least 1 by turn X</t>
        </is>
      </c>
      <c r="C23" s="9" t="inlineStr">
        <is>
          <t>Combo</t>
        </is>
      </c>
      <c r="D23" s="8" t="inlineStr">
        <is>
          <t>Average number drawn</t>
        </is>
      </c>
      <c r="M23" s="9" t="inlineStr">
        <is>
          <t>Control</t>
        </is>
      </c>
      <c r="N23" s="9" t="inlineStr">
        <is>
          <t>At least 1 by turn X</t>
        </is>
      </c>
    </row>
    <row r="24">
      <c r="A24" s="9" t="n">
        <v>1</v>
      </c>
      <c r="B24" s="3">
        <f>SUM(Data!Z2:Z9)*100</f>
        <v/>
      </c>
      <c r="D24" s="3">
        <f>Data!Z10</f>
        <v/>
      </c>
      <c r="E24" s="3">
        <f>Data!AA10</f>
        <v/>
      </c>
      <c r="F24" s="3">
        <f>Data!AB10</f>
        <v/>
      </c>
      <c r="G24" s="3">
        <f>Data!AC10</f>
        <v/>
      </c>
      <c r="H24" s="3">
        <f>Data!AD10</f>
        <v/>
      </c>
      <c r="I24" s="3">
        <f>Data!AE10</f>
        <v/>
      </c>
      <c r="J24" s="3">
        <f>Data!AF10</f>
        <v/>
      </c>
      <c r="K24" s="3">
        <f>Data!AG10</f>
        <v/>
      </c>
      <c r="L24" s="3">
        <f>Data!AH10</f>
        <v/>
      </c>
      <c r="N24" s="3">
        <f>SUM(Data!AH2:AH9)*100</f>
        <v/>
      </c>
      <c r="O24" s="9" t="n">
        <v>1</v>
      </c>
    </row>
    <row r="25">
      <c r="A25" s="9" t="n">
        <v>2</v>
      </c>
      <c r="B25" s="3">
        <f>SUM(Data!Z13:Z20)*100</f>
        <v/>
      </c>
      <c r="D25" s="3">
        <f>Data!Z21</f>
        <v/>
      </c>
      <c r="E25" s="3">
        <f>Data!AA21</f>
        <v/>
      </c>
      <c r="F25" s="3">
        <f>Data!AB21</f>
        <v/>
      </c>
      <c r="G25" s="3">
        <f>Data!AC21</f>
        <v/>
      </c>
      <c r="H25" s="3">
        <f>Data!AD21</f>
        <v/>
      </c>
      <c r="I25" s="3">
        <f>Data!AE21</f>
        <v/>
      </c>
      <c r="J25" s="3">
        <f>Data!AF21</f>
        <v/>
      </c>
      <c r="K25" s="3">
        <f>Data!AG21</f>
        <v/>
      </c>
      <c r="L25" s="3">
        <f>Data!AH21</f>
        <v/>
      </c>
      <c r="N25" s="3">
        <f>SUM(Data!AH13:AH20)*100</f>
        <v/>
      </c>
      <c r="O25" s="9" t="n">
        <v>2</v>
      </c>
    </row>
    <row r="26">
      <c r="A26" s="9" t="n">
        <v>3</v>
      </c>
      <c r="B26" s="3">
        <f>SUM(Data!Z24:Z31)*100</f>
        <v/>
      </c>
      <c r="D26" s="3">
        <f>Data!Z32</f>
        <v/>
      </c>
      <c r="E26" s="3">
        <f>Data!AA32</f>
        <v/>
      </c>
      <c r="F26" s="3">
        <f>Data!AB32</f>
        <v/>
      </c>
      <c r="G26" s="3">
        <f>Data!AC32</f>
        <v/>
      </c>
      <c r="H26" s="3">
        <f>Data!AD32</f>
        <v/>
      </c>
      <c r="I26" s="3">
        <f>Data!AE32</f>
        <v/>
      </c>
      <c r="J26" s="3">
        <f>Data!AF32</f>
        <v/>
      </c>
      <c r="K26" s="3">
        <f>Data!AG32</f>
        <v/>
      </c>
      <c r="L26" s="3">
        <f>Data!AH32</f>
        <v/>
      </c>
      <c r="N26" s="3">
        <f>SUM(Data!AH24:AH31)*100</f>
        <v/>
      </c>
      <c r="O26" s="9" t="n">
        <v>3</v>
      </c>
    </row>
    <row r="27">
      <c r="A27" s="9" t="n">
        <v>4</v>
      </c>
      <c r="B27" s="3">
        <f>SUM(Data!Z35:Z42)*100</f>
        <v/>
      </c>
      <c r="D27" s="3">
        <f>Data!Z43</f>
        <v/>
      </c>
      <c r="E27" s="3">
        <f>Data!AA43</f>
        <v/>
      </c>
      <c r="F27" s="3">
        <f>Data!AB43</f>
        <v/>
      </c>
      <c r="G27" s="3">
        <f>Data!AC43</f>
        <v/>
      </c>
      <c r="H27" s="3">
        <f>Data!AD43</f>
        <v/>
      </c>
      <c r="I27" s="3">
        <f>Data!AE43</f>
        <v/>
      </c>
      <c r="J27" s="3">
        <f>Data!AF43</f>
        <v/>
      </c>
      <c r="K27" s="3">
        <f>Data!AG43</f>
        <v/>
      </c>
      <c r="L27" s="3">
        <f>Data!AH43</f>
        <v/>
      </c>
      <c r="N27" s="3">
        <f>SUM(Data!AH35:AH42)*100</f>
        <v/>
      </c>
      <c r="O27" s="9" t="n">
        <v>4</v>
      </c>
    </row>
    <row r="28">
      <c r="A28" s="9" t="n">
        <v>5</v>
      </c>
      <c r="B28" s="3">
        <f>SUM(Data!Z46:Z53)*100</f>
        <v/>
      </c>
      <c r="D28" s="3">
        <f>Data!Z54</f>
        <v/>
      </c>
      <c r="E28" s="3">
        <f>Data!AA54</f>
        <v/>
      </c>
      <c r="F28" s="3">
        <f>Data!AB54</f>
        <v/>
      </c>
      <c r="G28" s="3">
        <f>Data!AC54</f>
        <v/>
      </c>
      <c r="H28" s="3">
        <f>Data!AD54</f>
        <v/>
      </c>
      <c r="I28" s="3">
        <f>Data!AE54</f>
        <v/>
      </c>
      <c r="J28" s="3">
        <f>Data!AF54</f>
        <v/>
      </c>
      <c r="K28" s="3">
        <f>Data!AG54</f>
        <v/>
      </c>
      <c r="L28" s="3">
        <f>Data!AH54</f>
        <v/>
      </c>
      <c r="N28" s="3">
        <f>SUM(Data!AH46:AH53)*100</f>
        <v/>
      </c>
      <c r="O28" s="9" t="n">
        <v>5</v>
      </c>
    </row>
    <row r="29"/>
    <row r="30"/>
    <row r="31">
      <c r="A31" s="9" t="inlineStr">
        <is>
          <t>Turn</t>
        </is>
      </c>
      <c r="C31" s="9" t="inlineStr">
        <is>
          <t>Deck types</t>
        </is>
      </c>
      <c r="D31" s="7" t="inlineStr">
        <is>
          <t>Board wipes</t>
        </is>
      </c>
      <c r="M31" s="9" t="inlineStr">
        <is>
          <t>Deck types</t>
        </is>
      </c>
      <c r="O31" s="9" t="inlineStr">
        <is>
          <t>Turn</t>
        </is>
      </c>
      <c r="P31" s="9" t="inlineStr">
        <is>
          <t>Notes</t>
        </is>
      </c>
    </row>
    <row r="32">
      <c r="C32" s="9" t="inlineStr">
        <is>
          <t>Creature deck</t>
        </is>
      </c>
      <c r="D32" s="9" t="n">
        <v>0</v>
      </c>
      <c r="E32" s="9" t="n">
        <v>1</v>
      </c>
      <c r="F32" s="9" t="n">
        <v>2</v>
      </c>
      <c r="G32" s="9" t="n">
        <v>3</v>
      </c>
      <c r="H32" s="9" t="n">
        <v>4</v>
      </c>
      <c r="I32" s="9" t="n">
        <v>5</v>
      </c>
      <c r="J32" s="9" t="n">
        <v>6</v>
      </c>
      <c r="K32" s="9" t="n">
        <v>7</v>
      </c>
      <c r="L32" s="9" t="n">
        <v>8</v>
      </c>
      <c r="M32" s="9" t="inlineStr">
        <is>
          <t>Control</t>
        </is>
      </c>
      <c r="P32" s="10" t="inlineStr">
        <is>
          <t>Bane of Progress is a board wipe too
e.g. no artifacts in your deck = artifact wipe</t>
        </is>
      </c>
    </row>
    <row r="33">
      <c r="B33" s="9" t="inlineStr">
        <is>
          <t>At least 1 by turn X</t>
        </is>
      </c>
      <c r="C33" s="9" t="inlineStr">
        <is>
          <t>Aggro</t>
        </is>
      </c>
      <c r="D33" s="8" t="inlineStr">
        <is>
          <t>Average number drawn</t>
        </is>
      </c>
      <c r="N33" s="9" t="inlineStr">
        <is>
          <t>At least 1 by turn X</t>
        </is>
      </c>
    </row>
    <row r="34">
      <c r="A34" s="9" t="n">
        <v>1</v>
      </c>
      <c r="B34" s="3">
        <f>SUM(Data!AJ2:AJ9)*100</f>
        <v/>
      </c>
      <c r="D34" s="3">
        <f>Data!AJ10</f>
        <v/>
      </c>
      <c r="E34" s="3">
        <f>Data!AK10</f>
        <v/>
      </c>
      <c r="F34" s="3">
        <f>Data!AL10</f>
        <v/>
      </c>
      <c r="G34" s="3">
        <f>Data!AM10</f>
        <v/>
      </c>
      <c r="H34" s="3">
        <f>Data!AN10</f>
        <v/>
      </c>
      <c r="I34" s="3">
        <f>Data!AO10</f>
        <v/>
      </c>
      <c r="J34" s="3">
        <f>Data!AP10</f>
        <v/>
      </c>
      <c r="K34" s="3">
        <f>Data!AQ10</f>
        <v/>
      </c>
      <c r="L34" s="3">
        <f>Data!AR10</f>
        <v/>
      </c>
      <c r="N34" s="3">
        <f>SUM(Data!AR2:AR9)*100</f>
        <v/>
      </c>
      <c r="O34" s="9" t="n">
        <v>1</v>
      </c>
    </row>
    <row r="35">
      <c r="A35" s="9" t="n">
        <v>2</v>
      </c>
      <c r="B35" s="3">
        <f>SUM(Data!AJ13:AJ20)*100</f>
        <v/>
      </c>
      <c r="D35" s="3">
        <f>Data!AJ21</f>
        <v/>
      </c>
      <c r="E35" s="3">
        <f>Data!AK21</f>
        <v/>
      </c>
      <c r="F35" s="3">
        <f>Data!AL21</f>
        <v/>
      </c>
      <c r="G35" s="3">
        <f>Data!AM21</f>
        <v/>
      </c>
      <c r="H35" s="3">
        <f>Data!AN21</f>
        <v/>
      </c>
      <c r="I35" s="3">
        <f>Data!AO21</f>
        <v/>
      </c>
      <c r="J35" s="3">
        <f>Data!AP21</f>
        <v/>
      </c>
      <c r="K35" s="3">
        <f>Data!AQ21</f>
        <v/>
      </c>
      <c r="L35" s="3">
        <f>Data!AR21</f>
        <v/>
      </c>
      <c r="N35" s="3">
        <f>SUM(Data!AR13:AR20)*100</f>
        <v/>
      </c>
      <c r="O35" s="9" t="n">
        <v>2</v>
      </c>
    </row>
    <row r="36">
      <c r="A36" s="9" t="n">
        <v>3</v>
      </c>
      <c r="B36" s="3">
        <f>SUM(Data!AJ24:AJ31)*100</f>
        <v/>
      </c>
      <c r="D36" s="3">
        <f>Data!AJ232</f>
        <v/>
      </c>
      <c r="E36" s="3">
        <f>Data!AK232</f>
        <v/>
      </c>
      <c r="F36" s="3">
        <f>Data!AL232</f>
        <v/>
      </c>
      <c r="G36" s="3">
        <f>Data!AM232</f>
        <v/>
      </c>
      <c r="H36" s="3">
        <f>Data!AN232</f>
        <v/>
      </c>
      <c r="I36" s="3">
        <f>Data!AO232</f>
        <v/>
      </c>
      <c r="J36" s="3">
        <f>Data!AP232</f>
        <v/>
      </c>
      <c r="K36" s="3">
        <f>Data!AQ232</f>
        <v/>
      </c>
      <c r="L36" s="3">
        <f>Data!AR232</f>
        <v/>
      </c>
      <c r="N36" s="3">
        <f>SUM(Data!AR24:AR31)*100</f>
        <v/>
      </c>
      <c r="O36" s="9" t="n">
        <v>3</v>
      </c>
    </row>
    <row r="37">
      <c r="A37" s="9" t="n">
        <v>4</v>
      </c>
      <c r="B37" s="3">
        <f>SUM(Data!AJ35:AJ42)*100</f>
        <v/>
      </c>
      <c r="D37" s="3">
        <f>Data!AJ43</f>
        <v/>
      </c>
      <c r="E37" s="3">
        <f>Data!AK43</f>
        <v/>
      </c>
      <c r="F37" s="3">
        <f>Data!AL43</f>
        <v/>
      </c>
      <c r="G37" s="3">
        <f>Data!AM43</f>
        <v/>
      </c>
      <c r="H37" s="3">
        <f>Data!AN43</f>
        <v/>
      </c>
      <c r="I37" s="3">
        <f>Data!AO43</f>
        <v/>
      </c>
      <c r="J37" s="3">
        <f>Data!AP43</f>
        <v/>
      </c>
      <c r="K37" s="3">
        <f>Data!AQ43</f>
        <v/>
      </c>
      <c r="L37" s="3">
        <f>Data!AR43</f>
        <v/>
      </c>
      <c r="N37" s="3">
        <f>SUM(Data!AR35:AR42)*100</f>
        <v/>
      </c>
      <c r="O37" s="9" t="n">
        <v>4</v>
      </c>
    </row>
    <row r="38">
      <c r="A38" s="9" t="n">
        <v>5</v>
      </c>
      <c r="B38" s="3">
        <f>SUM(Data!AJ46:AJ53)*100</f>
        <v/>
      </c>
      <c r="D38" s="3">
        <f>Data!AJ54</f>
        <v/>
      </c>
      <c r="E38" s="3">
        <f>Data!AK54</f>
        <v/>
      </c>
      <c r="F38" s="3">
        <f>Data!AL54</f>
        <v/>
      </c>
      <c r="G38" s="3">
        <f>Data!AM54</f>
        <v/>
      </c>
      <c r="H38" s="3">
        <f>Data!AN54</f>
        <v/>
      </c>
      <c r="I38" s="3">
        <f>Data!AO54</f>
        <v/>
      </c>
      <c r="J38" s="3">
        <f>Data!AP54</f>
        <v/>
      </c>
      <c r="K38" s="3">
        <f>Data!AQ54</f>
        <v/>
      </c>
      <c r="L38" s="3">
        <f>Data!AR54</f>
        <v/>
      </c>
      <c r="N38" s="3">
        <f>SUM(Data!AR46:AR53)*100</f>
        <v/>
      </c>
      <c r="O38" s="9" t="n">
        <v>5</v>
      </c>
    </row>
    <row r="39"/>
    <row r="40"/>
    <row r="41">
      <c r="A41" s="9" t="inlineStr">
        <is>
          <t>Turn</t>
        </is>
      </c>
      <c r="C41" s="9" t="inlineStr">
        <is>
          <t>Deck types</t>
        </is>
      </c>
      <c r="D41" s="7" t="inlineStr">
        <is>
          <t>Ramp</t>
        </is>
      </c>
      <c r="M41" s="9" t="inlineStr">
        <is>
          <t>Deck types</t>
        </is>
      </c>
      <c r="O41" s="9" t="inlineStr">
        <is>
          <t>Turn</t>
        </is>
      </c>
      <c r="P41" s="9" t="inlineStr">
        <is>
          <t>Notes</t>
        </is>
      </c>
    </row>
    <row r="42">
      <c r="C42" s="9" t="inlineStr">
        <is>
          <t>Low curve</t>
        </is>
      </c>
      <c r="D42" s="9" t="n">
        <v>9</v>
      </c>
      <c r="E42" s="9" t="n">
        <v>10</v>
      </c>
      <c r="F42" s="9" t="n">
        <v>11</v>
      </c>
      <c r="G42" s="9" t="n">
        <v>12</v>
      </c>
      <c r="H42" s="9" t="n">
        <v>13</v>
      </c>
      <c r="I42" s="9" t="n">
        <v>14</v>
      </c>
      <c r="J42" s="9" t="n">
        <v>15</v>
      </c>
      <c r="K42" s="9" t="n">
        <v>16</v>
      </c>
      <c r="L42" s="9" t="n">
        <v>17</v>
      </c>
      <c r="M42" s="9" t="inlineStr">
        <is>
          <t>Landfall</t>
        </is>
      </c>
      <c r="P42" s="10" t="inlineStr">
        <is>
          <t>PERMANENT source of mana
Dark Ritual, Jeweled Lotus are not ramp
Extra land drops (Exploration, Burgeoning)
Mana rocks (Sol Ring)
Mana dorks (Birds of Paradise)</t>
        </is>
      </c>
    </row>
    <row r="43">
      <c r="B43" s="9" t="inlineStr">
        <is>
          <t>At least 1 by turn X</t>
        </is>
      </c>
      <c r="C43" s="9" t="inlineStr">
        <is>
          <t>Aggro</t>
        </is>
      </c>
      <c r="D43" s="8" t="inlineStr">
        <is>
          <t>Average number drawn</t>
        </is>
      </c>
      <c r="M43" s="9" t="inlineStr">
        <is>
          <t>High curve</t>
        </is>
      </c>
      <c r="N43" s="9" t="inlineStr">
        <is>
          <t>At least 1 by turn X</t>
        </is>
      </c>
    </row>
    <row r="44">
      <c r="A44" s="9" t="n">
        <v>1</v>
      </c>
      <c r="B44" s="3">
        <f>SUM(Data!AT2:AT9)*100</f>
        <v/>
      </c>
      <c r="D44" s="3">
        <f>Data!AT10</f>
        <v/>
      </c>
      <c r="E44" s="3">
        <f>Data!AU10</f>
        <v/>
      </c>
      <c r="F44" s="3">
        <f>Data!AV10</f>
        <v/>
      </c>
      <c r="G44" s="3">
        <f>Data!AW10</f>
        <v/>
      </c>
      <c r="H44" s="3">
        <f>Data!AX10</f>
        <v/>
      </c>
      <c r="I44" s="3">
        <f>Data!AY10</f>
        <v/>
      </c>
      <c r="J44" s="3">
        <f>Data!AZ10</f>
        <v/>
      </c>
      <c r="K44" s="3">
        <f>Data!BA10</f>
        <v/>
      </c>
      <c r="L44" s="3">
        <f>Data!BB10</f>
        <v/>
      </c>
      <c r="N44" s="3">
        <f>SUM(Data!BB2:BB9)*100</f>
        <v/>
      </c>
      <c r="O44" s="9" t="n">
        <v>1</v>
      </c>
    </row>
    <row r="45">
      <c r="A45" s="9" t="n">
        <v>2</v>
      </c>
      <c r="B45" s="3">
        <f>SUM(Data!AT13:AT20)*100</f>
        <v/>
      </c>
      <c r="D45" s="3">
        <f>Data!AT21</f>
        <v/>
      </c>
      <c r="E45" s="3">
        <f>Data!AU21</f>
        <v/>
      </c>
      <c r="F45" s="3">
        <f>Data!AV21</f>
        <v/>
      </c>
      <c r="G45" s="3">
        <f>Data!AW21</f>
        <v/>
      </c>
      <c r="H45" s="3">
        <f>Data!AX21</f>
        <v/>
      </c>
      <c r="I45" s="3">
        <f>Data!AY21</f>
        <v/>
      </c>
      <c r="J45" s="3">
        <f>Data!AZ21</f>
        <v/>
      </c>
      <c r="K45" s="3">
        <f>Data!BA21</f>
        <v/>
      </c>
      <c r="L45" s="3">
        <f>Data!BB21</f>
        <v/>
      </c>
      <c r="N45" s="3">
        <f>SUM(Data!BB13:BB20)*100</f>
        <v/>
      </c>
      <c r="O45" s="9" t="n">
        <v>2</v>
      </c>
    </row>
    <row r="46">
      <c r="A46" s="9" t="n">
        <v>3</v>
      </c>
      <c r="B46" s="3">
        <f>SUM(Data!AT24:AT31)*100</f>
        <v/>
      </c>
      <c r="D46" s="3">
        <f>Data!AT32</f>
        <v/>
      </c>
      <c r="E46" s="3">
        <f>Data!AU32</f>
        <v/>
      </c>
      <c r="F46" s="3">
        <f>Data!AV32</f>
        <v/>
      </c>
      <c r="G46" s="3">
        <f>Data!AW32</f>
        <v/>
      </c>
      <c r="H46" s="3">
        <f>Data!AX32</f>
        <v/>
      </c>
      <c r="I46" s="3">
        <f>Data!AY32</f>
        <v/>
      </c>
      <c r="J46" s="3">
        <f>Data!AZ32</f>
        <v/>
      </c>
      <c r="K46" s="3">
        <f>Data!BA32</f>
        <v/>
      </c>
      <c r="L46" s="3">
        <f>Data!BB32</f>
        <v/>
      </c>
      <c r="N46" s="3">
        <f>SUM(Data!BB24:BB31)*100</f>
        <v/>
      </c>
      <c r="O46" s="9" t="n">
        <v>3</v>
      </c>
    </row>
    <row r="47">
      <c r="A47" s="9" t="n">
        <v>4</v>
      </c>
      <c r="B47" s="3">
        <f>SUM(Data!AT35:AT42)*100</f>
        <v/>
      </c>
      <c r="D47" s="3">
        <f>Data!AT43</f>
        <v/>
      </c>
      <c r="E47" s="3">
        <f>Data!AU43</f>
        <v/>
      </c>
      <c r="F47" s="3">
        <f>Data!AV43</f>
        <v/>
      </c>
      <c r="G47" s="3">
        <f>Data!AW43</f>
        <v/>
      </c>
      <c r="H47" s="3">
        <f>Data!AX43</f>
        <v/>
      </c>
      <c r="I47" s="3">
        <f>Data!AY43</f>
        <v/>
      </c>
      <c r="J47" s="3">
        <f>Data!AZ43</f>
        <v/>
      </c>
      <c r="K47" s="3">
        <f>Data!BA43</f>
        <v/>
      </c>
      <c r="L47" s="3">
        <f>Data!BB43</f>
        <v/>
      </c>
      <c r="N47" s="3">
        <f>SUM(Data!BB35:BB42)*100</f>
        <v/>
      </c>
      <c r="O47" s="9" t="n">
        <v>4</v>
      </c>
    </row>
    <row r="48">
      <c r="A48" s="9" t="n">
        <v>5</v>
      </c>
      <c r="B48" s="3">
        <f>SUM(Data!AT46:AT53)*100</f>
        <v/>
      </c>
      <c r="D48" s="3">
        <f>Data!AT54</f>
        <v/>
      </c>
      <c r="E48" s="3">
        <f>Data!AU54</f>
        <v/>
      </c>
      <c r="F48" s="3">
        <f>Data!AV54</f>
        <v/>
      </c>
      <c r="G48" s="3">
        <f>Data!AW54</f>
        <v/>
      </c>
      <c r="H48" s="3">
        <f>Data!AX54</f>
        <v/>
      </c>
      <c r="I48" s="3">
        <f>Data!AY54</f>
        <v/>
      </c>
      <c r="J48" s="3">
        <f>Data!AZ54</f>
        <v/>
      </c>
      <c r="K48" s="3">
        <f>Data!BA54</f>
        <v/>
      </c>
      <c r="L48" s="3">
        <f>Data!BB54</f>
        <v/>
      </c>
      <c r="N48" s="3">
        <f>SUM(Data!BB46:BB53)*100</f>
        <v/>
      </c>
      <c r="O48" s="9" t="n">
        <v>5</v>
      </c>
    </row>
    <row r="49"/>
    <row r="50"/>
    <row r="51">
      <c r="D51" s="7" t="inlineStr">
        <is>
          <t>Win cons</t>
        </is>
      </c>
      <c r="P51" s="9" t="inlineStr">
        <is>
          <t>Notes</t>
        </is>
      </c>
    </row>
    <row r="52" ht="15" customHeight="1">
      <c r="D52" s="9" t="inlineStr">
        <is>
          <t xml:space="preserve"> ±3 win cons</t>
        </is>
      </c>
      <c r="P52" s="10" t="inlineStr">
        <is>
          <t>Win con: card A + card B = win
Infinites (Sanguine Bond + Exquisite Blood)
Doubling Season + planeswalker ultimate
Omniscience + Enter the Infinite
Single-card win cons like Expropriate
A CLEAR way to win. Combat damage is NOT a win con, except things like a 50/50 trampler or 100 1/1 tokens
Not too many win cons, otherwise too many combo pieces that do nothing alone clog your hand
Card advantage is ONLY a win con if it can stop opposing win cons</t>
        </is>
      </c>
    </row>
    <row r="53"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>
      <c r="B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N54" s="3" t="n"/>
    </row>
    <row r="55">
      <c r="B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N55" s="3" t="n"/>
    </row>
    <row r="56">
      <c r="B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N56" s="3" t="n"/>
    </row>
    <row r="57">
      <c r="B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N57" s="3" t="n"/>
    </row>
    <row r="58">
      <c r="B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N58" s="3" t="n"/>
    </row>
    <row r="59"/>
    <row r="60"/>
    <row r="61"/>
    <row r="62"/>
  </sheetData>
  <mergeCells count="24">
    <mergeCell ref="D21:L21"/>
    <mergeCell ref="P21:R21"/>
    <mergeCell ref="D13:L13"/>
    <mergeCell ref="D11:L11"/>
    <mergeCell ref="P11:R11"/>
    <mergeCell ref="D41:L41"/>
    <mergeCell ref="P22:R28"/>
    <mergeCell ref="D43:L43"/>
    <mergeCell ref="P2:R8"/>
    <mergeCell ref="D3:L3"/>
    <mergeCell ref="D33:L33"/>
    <mergeCell ref="D51:L51"/>
    <mergeCell ref="P32:R38"/>
    <mergeCell ref="D23:L23"/>
    <mergeCell ref="P51:R51"/>
    <mergeCell ref="P12:R18"/>
    <mergeCell ref="D1:L1"/>
    <mergeCell ref="P1:R1"/>
    <mergeCell ref="P41:R41"/>
    <mergeCell ref="D31:L31"/>
    <mergeCell ref="P31:R31"/>
    <mergeCell ref="P52:T62"/>
    <mergeCell ref="P42:R48"/>
    <mergeCell ref="D52:L52"/>
  </mergeCells>
  <conditionalFormatting sqref="D2:L2">
    <cfRule type="colorScale" priority="6">
      <colorScale>
        <cfvo type="min"/>
        <cfvo type="max"/>
        <color rgb="FFFFC000"/>
        <color rgb="FF00B050"/>
      </colorScale>
    </cfRule>
  </conditionalFormatting>
  <conditionalFormatting sqref="D12:L12">
    <cfRule type="colorScale" priority="5">
      <colorScale>
        <cfvo type="min"/>
        <cfvo type="max"/>
        <color rgb="FFFFC000"/>
        <color rgb="FF00B050"/>
      </colorScale>
    </cfRule>
  </conditionalFormatting>
  <conditionalFormatting sqref="D22:L22">
    <cfRule type="colorScale" priority="4">
      <colorScale>
        <cfvo type="min"/>
        <cfvo type="max"/>
        <color rgb="FFFFC000"/>
        <color rgb="FF00B050"/>
      </colorScale>
    </cfRule>
  </conditionalFormatting>
  <conditionalFormatting sqref="D32:L32">
    <cfRule type="colorScale" priority="3">
      <colorScale>
        <cfvo type="min"/>
        <cfvo type="max"/>
        <color rgb="FFFFC000"/>
        <color rgb="FF00B050"/>
      </colorScale>
    </cfRule>
  </conditionalFormatting>
  <conditionalFormatting sqref="D42:L42">
    <cfRule type="colorScale" priority="2">
      <colorScale>
        <cfvo type="min"/>
        <cfvo type="max"/>
        <color rgb="FFFFC000"/>
        <color rgb="FF00B050"/>
      </colorScale>
    </cfRule>
  </conditionalFormatting>
  <conditionalFormatting sqref="D52">
    <cfRule type="colorScale" priority="1">
      <colorScale>
        <cfvo type="min"/>
        <cfvo type="max"/>
        <color rgb="FFFFC000"/>
        <color rgb="FF00B050"/>
      </colorScale>
    </cfRule>
  </conditionalFormatting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E13" sqref="E13"/>
    </sheetView>
  </sheetViews>
  <sheetFormatPr baseColWidth="10" defaultRowHeight="15"/>
  <cols>
    <col width="14" bestFit="1" customWidth="1" style="9" min="1" max="1"/>
    <col width="19.7109375" bestFit="1" customWidth="1" style="9" min="2" max="2"/>
    <col width="11.42578125" customWidth="1" style="9" min="3" max="4"/>
    <col width="81.5703125" bestFit="1" customWidth="1" style="9" min="5" max="5"/>
    <col width="11.42578125" customWidth="1" style="9" min="6" max="16384"/>
  </cols>
  <sheetData>
    <row r="1">
      <c r="A1" s="9" t="inlineStr">
        <is>
          <t>Land type</t>
        </is>
      </c>
      <c r="B1" s="9" t="inlineStr">
        <is>
          <t>Price</t>
        </is>
      </c>
      <c r="C1" s="9" t="inlineStr">
        <is>
          <t>Tapped?</t>
        </is>
      </c>
      <c r="D1" s="9" t="inlineStr">
        <is>
          <t>Basic type?</t>
        </is>
      </c>
      <c r="E1" s="9" t="inlineStr">
        <is>
          <t>Note</t>
        </is>
      </c>
    </row>
    <row r="2">
      <c r="A2" s="9" t="inlineStr">
        <is>
          <t>Pain</t>
        </is>
      </c>
      <c r="B2" s="9" t="inlineStr">
        <is>
          <t>Low</t>
        </is>
      </c>
      <c r="C2" s="9" t="inlineStr">
        <is>
          <t>No</t>
        </is>
      </c>
      <c r="D2" s="9" t="inlineStr">
        <is>
          <t>No</t>
        </is>
      </c>
      <c r="E2" s="9" t="inlineStr">
        <is>
          <t>Good budget option, self damage</t>
        </is>
      </c>
    </row>
    <row r="3">
      <c r="A3" s="9" t="inlineStr">
        <is>
          <t>Shock</t>
        </is>
      </c>
      <c r="B3" s="9" t="inlineStr">
        <is>
          <t>High</t>
        </is>
      </c>
      <c r="C3" s="9" t="inlineStr">
        <is>
          <t>No</t>
        </is>
      </c>
      <c r="D3" s="9" t="inlineStr">
        <is>
          <t>Yes</t>
        </is>
      </c>
      <c r="E3" s="9" t="inlineStr">
        <is>
          <t>Better pain lands, expensive, basic types, best lands</t>
        </is>
      </c>
    </row>
    <row r="4">
      <c r="A4" s="9" t="inlineStr">
        <is>
          <t>Fetch</t>
        </is>
      </c>
      <c r="B4" s="9" t="inlineStr">
        <is>
          <t>Very high</t>
        </is>
      </c>
      <c r="C4" s="9" t="inlineStr">
        <is>
          <t>No</t>
        </is>
      </c>
      <c r="D4" s="9" t="inlineStr">
        <is>
          <t>No</t>
        </is>
      </c>
      <c r="E4" s="9" t="inlineStr">
        <is>
          <t>Best lands, very expensive</t>
        </is>
      </c>
    </row>
    <row r="5" ht="60" customHeight="1">
      <c r="A5" s="9" t="inlineStr">
        <is>
          <t>Filter</t>
        </is>
      </c>
      <c r="B5" s="9" t="inlineStr">
        <is>
          <t>Very low - low</t>
        </is>
      </c>
      <c r="C5" s="9" t="inlineStr">
        <is>
          <t>No</t>
        </is>
      </c>
      <c r="D5" s="9" t="inlineStr">
        <is>
          <t>No</t>
        </is>
      </c>
      <c r="E5" s="10" t="inlineStr">
        <is>
          <t>Two kinds: 
- any mana to two colors (e.g. Skycloud Expanse)
- colored to two colors (e.g. Fetid Heath)
Good budget option, a bit clunky</t>
        </is>
      </c>
    </row>
    <row r="6">
      <c r="A6" s="9" t="inlineStr">
        <is>
          <t>Scry (Temples)</t>
        </is>
      </c>
      <c r="B6" s="9" t="inlineStr">
        <is>
          <t>Very low</t>
        </is>
      </c>
      <c r="C6" s="9" t="inlineStr">
        <is>
          <t>Yes</t>
        </is>
      </c>
      <c r="D6" s="9" t="inlineStr">
        <is>
          <t>No</t>
        </is>
      </c>
      <c r="E6" s="9" t="inlineStr">
        <is>
          <t>Best slow lands</t>
        </is>
      </c>
    </row>
    <row r="7">
      <c r="A7" s="9" t="inlineStr">
        <is>
          <t>Battle</t>
        </is>
      </c>
      <c r="B7" s="9" t="inlineStr">
        <is>
          <t>Low</t>
        </is>
      </c>
      <c r="C7" s="9" t="inlineStr">
        <is>
          <t>Maybe</t>
        </is>
      </c>
      <c r="D7" s="9" t="inlineStr">
        <is>
          <t>Yes</t>
        </is>
      </c>
      <c r="E7" s="9" t="inlineStr">
        <is>
          <t>Basic types (Skyshroud Claim)</t>
        </is>
      </c>
    </row>
    <row r="8">
      <c r="A8" s="9" t="inlineStr">
        <is>
          <t>Check</t>
        </is>
      </c>
      <c r="B8" s="9" t="inlineStr">
        <is>
          <t>Medium</t>
        </is>
      </c>
      <c r="C8" s="9" t="inlineStr">
        <is>
          <t>Maybe</t>
        </is>
      </c>
      <c r="D8" s="9" t="inlineStr">
        <is>
          <t>No</t>
        </is>
      </c>
      <c r="E8" s="9" t="inlineStr">
        <is>
          <t>Very good in 2 or 3 colors</t>
        </is>
      </c>
    </row>
    <row r="9" ht="30" customHeight="1">
      <c r="A9" s="9" t="inlineStr">
        <is>
          <t>Bicycle</t>
        </is>
      </c>
      <c r="B9" s="9" t="inlineStr">
        <is>
          <t>Medium</t>
        </is>
      </c>
      <c r="C9" s="9" t="inlineStr">
        <is>
          <t>Yes</t>
        </is>
      </c>
      <c r="D9" s="9" t="inlineStr">
        <is>
          <t>No</t>
        </is>
      </c>
      <c r="E9" s="10" t="inlineStr">
        <is>
          <t>Two colors, cycling for 2 colorless
Slow, but easy to cycle in the late game</t>
        </is>
      </c>
    </row>
    <row r="10">
      <c r="A10" s="9" t="inlineStr">
        <is>
          <t>Bond</t>
        </is>
      </c>
      <c r="B10" s="9" t="inlineStr">
        <is>
          <t>Medium - high</t>
        </is>
      </c>
      <c r="C10" s="9" t="inlineStr">
        <is>
          <t>Maybe</t>
        </is>
      </c>
      <c r="D10" s="9" t="inlineStr">
        <is>
          <t>No</t>
        </is>
      </c>
      <c r="E10" s="9" t="inlineStr">
        <is>
          <t>Checks for two opponents. In Commander almost as good as a shock land, great</t>
        </is>
      </c>
    </row>
    <row r="11">
      <c r="A11" s="9" t="inlineStr">
        <is>
          <t>Pathway</t>
        </is>
      </c>
      <c r="B11" s="9" t="inlineStr">
        <is>
          <t>Low - high</t>
        </is>
      </c>
      <c r="C11" s="9" t="inlineStr">
        <is>
          <t>No</t>
        </is>
      </c>
      <c r="D11" s="9" t="inlineStr">
        <is>
          <t>No</t>
        </is>
      </c>
      <c r="E11" s="9" t="inlineStr">
        <is>
          <t>Very good especially in fewer colors</t>
        </is>
      </c>
    </row>
    <row r="12">
      <c r="A12" s="9" t="inlineStr">
        <is>
          <t>Slow</t>
        </is>
      </c>
      <c r="B12" s="9" t="inlineStr">
        <is>
          <t>Medium - high</t>
        </is>
      </c>
      <c r="C12" s="9" t="inlineStr">
        <is>
          <t>Maybe</t>
        </is>
      </c>
      <c r="D12" s="9" t="inlineStr">
        <is>
          <t>No</t>
        </is>
      </c>
      <c r="E12" s="9" t="inlineStr">
        <is>
          <t>Untapped from your third land on. Great for colors you only need later</t>
        </is>
      </c>
    </row>
    <row r="13">
      <c r="A13" s="9" t="inlineStr">
        <is>
          <t>Tricycle</t>
        </is>
      </c>
      <c r="B13" s="9" t="inlineStr">
        <is>
          <t>Medium - very high</t>
        </is>
      </c>
      <c r="C13" s="9" t="inlineStr">
        <is>
          <t>Yes</t>
        </is>
      </c>
      <c r="D13" s="9" t="inlineStr">
        <is>
          <t>Yes</t>
        </is>
      </c>
      <c r="E13" s="9" t="inlineStr">
        <is>
          <t>Basic types, cycling 3, enters tapped but very good in 4 to 5 colors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4" sqref="A14:G23"/>
    </sheetView>
  </sheetViews>
  <sheetFormatPr baseColWidth="10" defaultRowHeight="15"/>
  <cols>
    <col width="19.5703125" bestFit="1" customWidth="1" style="9" min="1" max="1"/>
    <col width="13.28515625" bestFit="1" customWidth="1" style="9" min="2" max="2"/>
    <col width="62.42578125" customWidth="1" style="9" min="3" max="3"/>
    <col width="4" customWidth="1" style="9" min="4" max="4"/>
    <col width="5.5703125" customWidth="1" style="9" min="5" max="5"/>
    <col width="3.140625" customWidth="1" style="9" min="6" max="6"/>
    <col width="20.7109375" customWidth="1" style="9" min="7" max="7"/>
    <col width="11.42578125" customWidth="1" style="9" min="8" max="16384"/>
  </cols>
  <sheetData>
    <row r="1">
      <c r="A1" s="9" t="inlineStr">
        <is>
          <t xml:space="preserve">Analysis of cEDH decks: </t>
        </is>
      </c>
    </row>
    <row r="2">
      <c r="A2" s="9" t="inlineStr">
        <is>
          <t>Mana value</t>
        </is>
      </c>
      <c r="B2" s="9" t="inlineStr">
        <is>
          <t>Number of cards</t>
        </is>
      </c>
      <c r="C2" s="9" t="inlineStr">
        <is>
          <t>Note</t>
        </is>
      </c>
    </row>
    <row r="3">
      <c r="A3" s="9" t="n">
        <v>0</v>
      </c>
      <c r="B3" s="9" t="n">
        <v>1.9</v>
      </c>
      <c r="C3" s="9" t="inlineStr">
        <is>
          <t>Mostly ramp or one-mana removal</t>
        </is>
      </c>
    </row>
    <row r="4">
      <c r="A4" s="9" t="n">
        <v>1</v>
      </c>
      <c r="B4" s="9" t="n">
        <v>12.9</v>
      </c>
    </row>
    <row r="5">
      <c r="A5" s="9" t="n">
        <v>2</v>
      </c>
      <c r="B5" s="9" t="n">
        <v>16.2</v>
      </c>
      <c r="C5" s="9" t="inlineStr">
        <is>
          <t>Ramp, creatures, key spells</t>
        </is>
      </c>
    </row>
    <row r="6">
      <c r="A6" s="9" t="n">
        <v>3</v>
      </c>
      <c r="B6" s="9" t="n">
        <v>16.7</v>
      </c>
      <c r="C6" s="9" t="inlineStr">
        <is>
          <t>From here, casting two spells a turn gets hard</t>
        </is>
      </c>
    </row>
    <row r="7" ht="30" customHeight="1">
      <c r="A7" s="9" t="n">
        <v>4</v>
      </c>
      <c r="B7" s="9" t="n">
        <v>9.5</v>
      </c>
      <c r="C7" s="10" t="inlineStr">
        <is>
          <t>Strong effects, two spells a turn very unlikely
These cards must be WORTH a whole turn</t>
        </is>
      </c>
    </row>
    <row r="8" ht="60" customHeight="1">
      <c r="A8" s="9" t="n">
        <v>5</v>
      </c>
      <c r="B8" s="9" t="n">
        <v>4.4</v>
      </c>
      <c r="C8" s="10" t="inlineStr">
        <is>
          <t>See mana value 4. Fewer expensive cards mean fewer
mulligans + cards you cannot cast do nothing</t>
        </is>
      </c>
    </row>
    <row r="9" ht="45" customHeight="1">
      <c r="A9" s="9" t="n">
        <v>6</v>
      </c>
      <c r="B9" s="9" t="n">
        <v>3.2</v>
      </c>
      <c r="C9" s="10" t="inlineStr">
        <is>
          <t>See above. Hands with too many expensive cards are a big drawback
from here and mana value 5 on: win con territory. A strong effect that wins</t>
        </is>
      </c>
    </row>
    <row r="10">
      <c r="A10" s="9" t="inlineStr">
        <is>
          <t>7+</t>
        </is>
      </c>
      <c r="B10" s="9" t="n">
        <v>1.9</v>
      </c>
      <c r="C10" s="9" t="inlineStr">
        <is>
          <t>Expropriate etc. win cons, ETBs that turn the game around</t>
        </is>
      </c>
    </row>
    <row r="11"/>
    <row r="12"/>
    <row r="13">
      <c r="A13" s="9" t="inlineStr">
        <is>
          <t>Notes:</t>
        </is>
      </c>
    </row>
    <row r="14">
      <c r="A14" s="10" t="inlineStr">
        <is>
          <t>Lower the mana curve where possible: more cards played = more effects = higher win rate, e.g. Nature's Claim vs. Krosan Grip
Cards like Dig Through Time rarely cost their printed mana value = count them in a lower slot
Decks with big effects are more expensive than those without. Only a guide, not a rule. Make sure the deck does not get too top-heavy
Casual groups: MUCH more casual than cEDH, the mana curve does not need to be hyper-optimized. More flavor, less 5-color goodstuff</t>
        </is>
      </c>
    </row>
    <row r="15"/>
    <row r="16"/>
    <row r="17"/>
    <row r="18"/>
    <row r="19"/>
    <row r="20"/>
    <row r="21"/>
    <row r="22"/>
    <row r="23"/>
  </sheetData>
  <mergeCells count="2">
    <mergeCell ref="C3:C4"/>
    <mergeCell ref="A14:G23"/>
  </mergeCells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D4" sqref="D4"/>
    </sheetView>
  </sheetViews>
  <sheetFormatPr baseColWidth="10" defaultRowHeight="15"/>
  <cols>
    <col width="20.7109375" bestFit="1" customWidth="1" style="9" min="1" max="1"/>
    <col width="7" bestFit="1" customWidth="1" style="9" min="2" max="2"/>
    <col width="68.28515625" bestFit="1" customWidth="1" style="9" min="3" max="3"/>
    <col width="53.28515625" bestFit="1" customWidth="1" style="9" min="4" max="4"/>
    <col width="11.42578125" customWidth="1" style="9" min="5" max="16384"/>
  </cols>
  <sheetData>
    <row r="1">
      <c r="A1" s="9" t="inlineStr">
        <is>
          <t>Card role</t>
        </is>
      </c>
      <c r="B1" s="9" t="inlineStr">
        <is>
          <t>Count</t>
        </is>
      </c>
      <c r="C1" s="9" t="inlineStr">
        <is>
          <t>Reason</t>
        </is>
      </c>
      <c r="D1" s="9" t="inlineStr">
        <is>
          <t>Note</t>
        </is>
      </c>
    </row>
    <row r="2">
      <c r="A2" s="9" t="inlineStr">
        <is>
          <t>Land</t>
        </is>
      </c>
      <c r="B2" s="9" t="n">
        <v>34</v>
      </c>
      <c r="C2" s="9" t="inlineStr">
        <is>
          <t>Fairly standard</t>
        </is>
      </c>
      <c r="D2" s="9" t="inlineStr">
        <is>
          <t>31 lands + 3 MDFCs</t>
        </is>
      </c>
    </row>
    <row r="3">
      <c r="A3" s="9" t="inlineStr">
        <is>
          <t>Draw</t>
        </is>
      </c>
      <c r="B3" s="9" t="n">
        <v>10</v>
      </c>
      <c r="C3" s="9" t="inlineStr">
        <is>
          <t>Find the win con; planeswalkers are gone without a board wipe</t>
        </is>
      </c>
      <c r="D3" s="9" t="inlineStr">
        <is>
          <t>Could be fewer, Prismatic Bridge "draws" cards</t>
        </is>
      </c>
    </row>
    <row r="4">
      <c r="A4" s="9" t="inlineStr">
        <is>
          <t>Single target removal</t>
        </is>
      </c>
      <c r="B4" s="9" t="n">
        <v>10</v>
      </c>
      <c r="C4" s="9" t="inlineStr">
        <is>
          <t>Trample and flying are a problem, mostly creature removal</t>
        </is>
      </c>
    </row>
    <row r="5">
      <c r="A5" s="9" t="inlineStr">
        <is>
          <t>Board wipes</t>
        </is>
      </c>
      <c r="B5" s="9" t="n">
        <v>10</v>
      </c>
      <c r="C5" s="9" t="inlineStr">
        <is>
          <t>Planeswalkers survive wipes, so they are one-sided wipes</t>
        </is>
      </c>
      <c r="D5" s="9" t="inlineStr">
        <is>
          <t>Maybe 1 or 2 more</t>
        </is>
      </c>
    </row>
    <row r="6">
      <c r="A6" s="9" t="inlineStr">
        <is>
          <t>Ramp</t>
        </is>
      </c>
      <c r="B6" s="9" t="n">
        <v>12</v>
      </c>
      <c r="C6" s="9" t="inlineStr">
        <is>
          <t>Mostly color fixing, almost only enchantments, hardly any artifacts or creatures</t>
        </is>
      </c>
    </row>
    <row r="7"/>
    <row r="8">
      <c r="A8" s="9" t="inlineStr">
        <is>
          <t>Win cons</t>
        </is>
      </c>
      <c r="C8" s="9" t="inlineStr">
        <is>
          <t>Doubling Season + Dreadhorde General</t>
        </is>
      </c>
      <c r="D8" s="10" t="inlineStr">
        <is>
          <t>More win cons because every piece also works on its own
Commander + ONE more card is a very good win con</t>
        </is>
      </c>
    </row>
    <row r="9">
      <c r="C9" s="9" t="inlineStr">
        <is>
          <t>Doubling Season + Nicol Bolas, Dragon-God</t>
        </is>
      </c>
    </row>
    <row r="10">
      <c r="C10" s="9" t="inlineStr">
        <is>
          <t>Doubling Season + Nicol Bolas, God-Pharaoh</t>
        </is>
      </c>
    </row>
    <row r="11">
      <c r="C11" s="9" t="inlineStr">
        <is>
          <t>Doubling Season + Chandra, Torch of Defiance</t>
        </is>
      </c>
    </row>
    <row r="12">
      <c r="C12" s="9" t="inlineStr">
        <is>
          <t>Jokulhaups + Prismatic Bridge</t>
        </is>
      </c>
    </row>
    <row r="13">
      <c r="C13" s="9" t="inlineStr">
        <is>
          <t>Obliterate + Prismatic Bridge</t>
        </is>
      </c>
    </row>
    <row r="14"/>
    <row r="15" ht="30" customHeight="1">
      <c r="A15" s="9" t="inlineStr">
        <is>
          <t>Rest</t>
        </is>
      </c>
      <c r="C15" s="9" t="inlineStr">
        <is>
          <t>Supports the game plan, prevents attacks or speeds up ultimates</t>
        </is>
      </c>
      <c r="D15" s="10" t="inlineStr">
        <is>
          <t>Evolution Sage, Sublime Artificier, Dueling Grounds
Pramikon, Sphere of Safety, Blind Obedience</t>
        </is>
      </c>
    </row>
  </sheetData>
  <mergeCells count="2">
    <mergeCell ref="A8:A13"/>
    <mergeCell ref="D8:D13"/>
  </mergeCells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4"/>
  <sheetViews>
    <sheetView topLeftCell="AI1" workbookViewId="0">
      <selection activeCell="A1" sqref="A1"/>
    </sheetView>
  </sheetViews>
  <sheetFormatPr baseColWidth="10" defaultRowHeight="15"/>
  <sheetData>
    <row r="1">
      <c r="A1" t="n">
        <v>0</v>
      </c>
      <c r="B1">
        <f>_xlfn.HYPGEOM.DIST(A1,'Hypergeometric Calculator'!C$3,'Hypergeometric Calculator'!C$4,'Hypergeometric Calculator'!C$2,FALSE)</f>
        <v/>
      </c>
      <c r="C1" t="n">
        <v>8</v>
      </c>
      <c r="F1">
        <f>_xlfn.HYPGEOM.DIST($A1,$C$1,'Benchmarks by Card Role'!D$2,99,FALSE)</f>
        <v/>
      </c>
      <c r="G1">
        <f>_xlfn.HYPGEOM.DIST($A1,$C$1,'Benchmarks by Card Role'!E$2,99,FALSE)</f>
        <v/>
      </c>
      <c r="H1">
        <f>_xlfn.HYPGEOM.DIST($A1,$C$1,'Benchmarks by Card Role'!F$2,99,FALSE)</f>
        <v/>
      </c>
      <c r="I1">
        <f>_xlfn.HYPGEOM.DIST($A1,$C$1,'Benchmarks by Card Role'!G$2,99,FALSE)</f>
        <v/>
      </c>
      <c r="J1">
        <f>_xlfn.HYPGEOM.DIST($A1,$C$1,'Benchmarks by Card Role'!H$2,99,FALSE)</f>
        <v/>
      </c>
      <c r="K1">
        <f>_xlfn.HYPGEOM.DIST($A1,$C$1,'Benchmarks by Card Role'!I$2,99,FALSE)</f>
        <v/>
      </c>
      <c r="L1">
        <f>_xlfn.HYPGEOM.DIST($A1,$C$1,'Benchmarks by Card Role'!J$2,99,FALSE)</f>
        <v/>
      </c>
      <c r="M1">
        <f>_xlfn.HYPGEOM.DIST($A1,$C$1,'Benchmarks by Card Role'!K$2,99,FALSE)</f>
        <v/>
      </c>
      <c r="N1">
        <f>_xlfn.HYPGEOM.DIST($A1,$C$1,'Benchmarks by Card Role'!L$2,99,FALSE)</f>
        <v/>
      </c>
      <c r="P1">
        <f>_xlfn.HYPGEOM.DIST($A1,$C$1,'Benchmarks by Card Role'!D$12,99,FALSE)</f>
        <v/>
      </c>
      <c r="Q1">
        <f>_xlfn.HYPGEOM.DIST($A1,$C$1,'Benchmarks by Card Role'!E$12,99,FALSE)</f>
        <v/>
      </c>
      <c r="R1">
        <f>_xlfn.HYPGEOM.DIST($A1,$C$1,'Benchmarks by Card Role'!F$12,99,FALSE)</f>
        <v/>
      </c>
      <c r="S1">
        <f>_xlfn.HYPGEOM.DIST($A1,$C$1,'Benchmarks by Card Role'!G$12,99,FALSE)</f>
        <v/>
      </c>
      <c r="T1">
        <f>_xlfn.HYPGEOM.DIST($A1,$C$1,'Benchmarks by Card Role'!H$12,99,FALSE)</f>
        <v/>
      </c>
      <c r="U1">
        <f>_xlfn.HYPGEOM.DIST($A1,$C$1,'Benchmarks by Card Role'!I$12,99,FALSE)</f>
        <v/>
      </c>
      <c r="V1">
        <f>_xlfn.HYPGEOM.DIST($A1,$C$1,'Benchmarks by Card Role'!J$12,99,FALSE)</f>
        <v/>
      </c>
      <c r="W1">
        <f>_xlfn.HYPGEOM.DIST($A1,$C$1,'Benchmarks by Card Role'!K$12,99,FALSE)</f>
        <v/>
      </c>
      <c r="X1">
        <f>_xlfn.HYPGEOM.DIST($A1,$C$1,'Benchmarks by Card Role'!L$12,99,FALSE)</f>
        <v/>
      </c>
      <c r="Z1">
        <f>_xlfn.HYPGEOM.DIST($A1,$C$1,'Benchmarks by Card Role'!D$22,99,FALSE)</f>
        <v/>
      </c>
      <c r="AA1">
        <f>_xlfn.HYPGEOM.DIST($A1,$C$1,'Benchmarks by Card Role'!E$22,99,FALSE)</f>
        <v/>
      </c>
      <c r="AB1">
        <f>_xlfn.HYPGEOM.DIST($A1,$C$1,'Benchmarks by Card Role'!F$22,99,FALSE)</f>
        <v/>
      </c>
      <c r="AC1">
        <f>_xlfn.HYPGEOM.DIST($A1,$C$1,'Benchmarks by Card Role'!G$22,99,FALSE)</f>
        <v/>
      </c>
      <c r="AD1">
        <f>_xlfn.HYPGEOM.DIST($A1,$C$1,'Benchmarks by Card Role'!H$22,99,FALSE)</f>
        <v/>
      </c>
      <c r="AE1">
        <f>_xlfn.HYPGEOM.DIST($A1,$C$1,'Benchmarks by Card Role'!I$22,99,FALSE)</f>
        <v/>
      </c>
      <c r="AF1">
        <f>_xlfn.HYPGEOM.DIST($A1,$C$1,'Benchmarks by Card Role'!J$22,99,FALSE)</f>
        <v/>
      </c>
      <c r="AG1">
        <f>_xlfn.HYPGEOM.DIST($A1,$C$1,'Benchmarks by Card Role'!K$22,99,FALSE)</f>
        <v/>
      </c>
      <c r="AH1">
        <f>_xlfn.HYPGEOM.DIST($A1,$C$1,'Benchmarks by Card Role'!L$22,99,FALSE)</f>
        <v/>
      </c>
      <c r="AJ1">
        <f>_xlfn.HYPGEOM.DIST($A1,$C$1,'Benchmarks by Card Role'!D$32,99,FALSE)</f>
        <v/>
      </c>
      <c r="AK1">
        <f>_xlfn.HYPGEOM.DIST($A1,$C$1,'Benchmarks by Card Role'!E$32,99,FALSE)</f>
        <v/>
      </c>
      <c r="AL1">
        <f>_xlfn.HYPGEOM.DIST($A1,$C$1,'Benchmarks by Card Role'!F$32,99,FALSE)</f>
        <v/>
      </c>
      <c r="AM1">
        <f>_xlfn.HYPGEOM.DIST($A1,$C$1,'Benchmarks by Card Role'!G$32,99,FALSE)</f>
        <v/>
      </c>
      <c r="AN1">
        <f>_xlfn.HYPGEOM.DIST($A1,$C$1,'Benchmarks by Card Role'!H$32,99,FALSE)</f>
        <v/>
      </c>
      <c r="AO1">
        <f>_xlfn.HYPGEOM.DIST($A1,$C$1,'Benchmarks by Card Role'!I$32,99,FALSE)</f>
        <v/>
      </c>
      <c r="AP1">
        <f>_xlfn.HYPGEOM.DIST($A1,$C$1,'Benchmarks by Card Role'!J$32,99,FALSE)</f>
        <v/>
      </c>
      <c r="AQ1">
        <f>_xlfn.HYPGEOM.DIST($A1,$C$1,'Benchmarks by Card Role'!K$32,99,FALSE)</f>
        <v/>
      </c>
      <c r="AR1">
        <f>_xlfn.HYPGEOM.DIST($A1,$C$1,'Benchmarks by Card Role'!L$32,99,FALSE)</f>
        <v/>
      </c>
      <c r="AT1">
        <f>_xlfn.HYPGEOM.DIST($A1,$C$1,'Benchmarks by Card Role'!D$42,99,FALSE)</f>
        <v/>
      </c>
      <c r="AU1">
        <f>_xlfn.HYPGEOM.DIST($A1,$C$1,'Benchmarks by Card Role'!E$42,99,FALSE)</f>
        <v/>
      </c>
      <c r="AV1">
        <f>_xlfn.HYPGEOM.DIST($A1,$C$1,'Benchmarks by Card Role'!F$42,99,FALSE)</f>
        <v/>
      </c>
      <c r="AW1">
        <f>_xlfn.HYPGEOM.DIST($A1,$C$1,'Benchmarks by Card Role'!G$42,99,FALSE)</f>
        <v/>
      </c>
      <c r="AX1">
        <f>_xlfn.HYPGEOM.DIST($A1,$C$1,'Benchmarks by Card Role'!H$42,99,FALSE)</f>
        <v/>
      </c>
      <c r="AY1">
        <f>_xlfn.HYPGEOM.DIST($A1,$C$1,'Benchmarks by Card Role'!I$42,99,FALSE)</f>
        <v/>
      </c>
      <c r="AZ1">
        <f>_xlfn.HYPGEOM.DIST($A1,$C$1,'Benchmarks by Card Role'!J$42,99,FALSE)</f>
        <v/>
      </c>
      <c r="BA1">
        <f>_xlfn.HYPGEOM.DIST($A1,$C$1,'Benchmarks by Card Role'!K$42,99,FALSE)</f>
        <v/>
      </c>
      <c r="BB1">
        <f>_xlfn.HYPGEOM.DIST($A1,$C$1,'Benchmarks by Card Role'!L$42,99,FALSE)</f>
        <v/>
      </c>
    </row>
    <row r="2">
      <c r="A2" t="n">
        <v>1</v>
      </c>
      <c r="B2">
        <f>_xlfn.HYPGEOM.DIST(A2,'Hypergeometric Calculator'!C$3,'Hypergeometric Calculator'!C$4,'Hypergeometric Calculator'!C$2,FALSE)</f>
        <v/>
      </c>
      <c r="C2" t="n">
        <v>9</v>
      </c>
      <c r="F2">
        <f>_xlfn.HYPGEOM.DIST($A2,$C$1,'Benchmarks by Card Role'!D$2,99,FALSE)</f>
        <v/>
      </c>
      <c r="G2">
        <f>_xlfn.HYPGEOM.DIST($A2,$C$1,'Benchmarks by Card Role'!E$2,99,FALSE)</f>
        <v/>
      </c>
      <c r="H2">
        <f>_xlfn.HYPGEOM.DIST($A2,$C$1,'Benchmarks by Card Role'!F$2,99,FALSE)</f>
        <v/>
      </c>
      <c r="I2">
        <f>_xlfn.HYPGEOM.DIST($A2,$C$1,'Benchmarks by Card Role'!G$2,99,FALSE)</f>
        <v/>
      </c>
      <c r="J2">
        <f>_xlfn.HYPGEOM.DIST($A2,$C$1,'Benchmarks by Card Role'!H$2,99,FALSE)</f>
        <v/>
      </c>
      <c r="K2">
        <f>_xlfn.HYPGEOM.DIST($A2,$C$1,'Benchmarks by Card Role'!I$2,99,FALSE)</f>
        <v/>
      </c>
      <c r="L2">
        <f>_xlfn.HYPGEOM.DIST($A2,$C$1,'Benchmarks by Card Role'!J$2,99,FALSE)</f>
        <v/>
      </c>
      <c r="M2">
        <f>_xlfn.HYPGEOM.DIST($A2,$C$1,'Benchmarks by Card Role'!K$2,99,FALSE)</f>
        <v/>
      </c>
      <c r="N2">
        <f>_xlfn.HYPGEOM.DIST($A2,$C$1,'Benchmarks by Card Role'!L$2,99,FALSE)</f>
        <v/>
      </c>
      <c r="P2">
        <f>_xlfn.HYPGEOM.DIST($A2,$C$1,'Benchmarks by Card Role'!D$12,99,FALSE)</f>
        <v/>
      </c>
      <c r="Q2">
        <f>_xlfn.HYPGEOM.DIST($A2,$C$1,'Benchmarks by Card Role'!E$12,99,FALSE)</f>
        <v/>
      </c>
      <c r="R2">
        <f>_xlfn.HYPGEOM.DIST($A2,$C$1,'Benchmarks by Card Role'!F$12,99,FALSE)</f>
        <v/>
      </c>
      <c r="S2">
        <f>_xlfn.HYPGEOM.DIST($A2,$C$1,'Benchmarks by Card Role'!G$12,99,FALSE)</f>
        <v/>
      </c>
      <c r="T2">
        <f>_xlfn.HYPGEOM.DIST($A2,$C$1,'Benchmarks by Card Role'!H$12,99,FALSE)</f>
        <v/>
      </c>
      <c r="U2">
        <f>_xlfn.HYPGEOM.DIST($A2,$C$1,'Benchmarks by Card Role'!I$12,99,FALSE)</f>
        <v/>
      </c>
      <c r="V2">
        <f>_xlfn.HYPGEOM.DIST($A2,$C$1,'Benchmarks by Card Role'!J$12,99,FALSE)</f>
        <v/>
      </c>
      <c r="W2">
        <f>_xlfn.HYPGEOM.DIST($A2,$C$1,'Benchmarks by Card Role'!K$12,99,FALSE)</f>
        <v/>
      </c>
      <c r="X2">
        <f>_xlfn.HYPGEOM.DIST($A2,$C$1,'Benchmarks by Card Role'!L$12,99,FALSE)</f>
        <v/>
      </c>
      <c r="Z2">
        <f>_xlfn.HYPGEOM.DIST($A2,$C$1,'Benchmarks by Card Role'!D$22,99,FALSE)</f>
        <v/>
      </c>
      <c r="AA2">
        <f>_xlfn.HYPGEOM.DIST($A2,$C$1,'Benchmarks by Card Role'!E$22,99,FALSE)</f>
        <v/>
      </c>
      <c r="AB2">
        <f>_xlfn.HYPGEOM.DIST($A2,$C$1,'Benchmarks by Card Role'!F$22,99,FALSE)</f>
        <v/>
      </c>
      <c r="AC2">
        <f>_xlfn.HYPGEOM.DIST($A2,$C$1,'Benchmarks by Card Role'!G$22,99,FALSE)</f>
        <v/>
      </c>
      <c r="AD2">
        <f>_xlfn.HYPGEOM.DIST($A2,$C$1,'Benchmarks by Card Role'!H$22,99,FALSE)</f>
        <v/>
      </c>
      <c r="AE2">
        <f>_xlfn.HYPGEOM.DIST($A2,$C$1,'Benchmarks by Card Role'!I$22,99,FALSE)</f>
        <v/>
      </c>
      <c r="AF2">
        <f>_xlfn.HYPGEOM.DIST($A2,$C$1,'Benchmarks by Card Role'!J$22,99,FALSE)</f>
        <v/>
      </c>
      <c r="AG2">
        <f>_xlfn.HYPGEOM.DIST($A2,$C$1,'Benchmarks by Card Role'!K$22,99,FALSE)</f>
        <v/>
      </c>
      <c r="AH2">
        <f>_xlfn.HYPGEOM.DIST($A2,$C$1,'Benchmarks by Card Role'!L$22,99,FALSE)</f>
        <v/>
      </c>
      <c r="AJ2">
        <f>_xlfn.HYPGEOM.DIST($A2,$C$1,'Benchmarks by Card Role'!D$32,99,FALSE)</f>
        <v/>
      </c>
      <c r="AK2">
        <f>_xlfn.HYPGEOM.DIST($A2,$C$1,'Benchmarks by Card Role'!E$32,99,FALSE)</f>
        <v/>
      </c>
      <c r="AL2">
        <f>_xlfn.HYPGEOM.DIST($A2,$C$1,'Benchmarks by Card Role'!F$32,99,FALSE)</f>
        <v/>
      </c>
      <c r="AM2">
        <f>_xlfn.HYPGEOM.DIST($A2,$C$1,'Benchmarks by Card Role'!G$32,99,FALSE)</f>
        <v/>
      </c>
      <c r="AN2">
        <f>_xlfn.HYPGEOM.DIST($A2,$C$1,'Benchmarks by Card Role'!H$32,99,FALSE)</f>
        <v/>
      </c>
      <c r="AO2">
        <f>_xlfn.HYPGEOM.DIST($A2,$C$1,'Benchmarks by Card Role'!I$32,99,FALSE)</f>
        <v/>
      </c>
      <c r="AP2">
        <f>_xlfn.HYPGEOM.DIST($A2,$C$1,'Benchmarks by Card Role'!J$32,99,FALSE)</f>
        <v/>
      </c>
      <c r="AQ2">
        <f>_xlfn.HYPGEOM.DIST($A2,$C$1,'Benchmarks by Card Role'!K$32,99,FALSE)</f>
        <v/>
      </c>
      <c r="AR2">
        <f>_xlfn.HYPGEOM.DIST($A2,$C$1,'Benchmarks by Card Role'!L$32,99,FALSE)</f>
        <v/>
      </c>
      <c r="AT2">
        <f>_xlfn.HYPGEOM.DIST($A2,$C$1,'Benchmarks by Card Role'!D$42,99,FALSE)</f>
        <v/>
      </c>
      <c r="AU2">
        <f>_xlfn.HYPGEOM.DIST($A2,$C$1,'Benchmarks by Card Role'!E$42,99,FALSE)</f>
        <v/>
      </c>
      <c r="AV2">
        <f>_xlfn.HYPGEOM.DIST($A2,$C$1,'Benchmarks by Card Role'!F$42,99,FALSE)</f>
        <v/>
      </c>
      <c r="AW2">
        <f>_xlfn.HYPGEOM.DIST($A2,$C$1,'Benchmarks by Card Role'!G$42,99,FALSE)</f>
        <v/>
      </c>
      <c r="AX2">
        <f>_xlfn.HYPGEOM.DIST($A2,$C$1,'Benchmarks by Card Role'!H$42,99,FALSE)</f>
        <v/>
      </c>
      <c r="AY2">
        <f>_xlfn.HYPGEOM.DIST($A2,$C$1,'Benchmarks by Card Role'!I$42,99,FALSE)</f>
        <v/>
      </c>
      <c r="AZ2">
        <f>_xlfn.HYPGEOM.DIST($A2,$C$1,'Benchmarks by Card Role'!J$42,99,FALSE)</f>
        <v/>
      </c>
      <c r="BA2">
        <f>_xlfn.HYPGEOM.DIST($A2,$C$1,'Benchmarks by Card Role'!K$42,99,FALSE)</f>
        <v/>
      </c>
      <c r="BB2">
        <f>_xlfn.HYPGEOM.DIST($A2,$C$1,'Benchmarks by Card Role'!L$42,99,FALSE)</f>
        <v/>
      </c>
    </row>
    <row r="3">
      <c r="A3" t="n">
        <v>2</v>
      </c>
      <c r="B3">
        <f>_xlfn.HYPGEOM.DIST(A3,'Hypergeometric Calculator'!C$3,'Hypergeometric Calculator'!C$4,'Hypergeometric Calculator'!C$2,FALSE)</f>
        <v/>
      </c>
      <c r="C3" t="n">
        <v>10</v>
      </c>
      <c r="F3">
        <f>_xlfn.HYPGEOM.DIST($A3,$C$1,'Benchmarks by Card Role'!D$2,99,FALSE)</f>
        <v/>
      </c>
      <c r="G3">
        <f>_xlfn.HYPGEOM.DIST($A3,$C$1,'Benchmarks by Card Role'!E$2,99,FALSE)</f>
        <v/>
      </c>
      <c r="H3">
        <f>_xlfn.HYPGEOM.DIST($A3,$C$1,'Benchmarks by Card Role'!F$2,99,FALSE)</f>
        <v/>
      </c>
      <c r="I3">
        <f>_xlfn.HYPGEOM.DIST($A3,$C$1,'Benchmarks by Card Role'!G$2,99,FALSE)</f>
        <v/>
      </c>
      <c r="J3">
        <f>_xlfn.HYPGEOM.DIST($A3,$C$1,'Benchmarks by Card Role'!H$2,99,FALSE)</f>
        <v/>
      </c>
      <c r="K3">
        <f>_xlfn.HYPGEOM.DIST($A3,$C$1,'Benchmarks by Card Role'!I$2,99,FALSE)</f>
        <v/>
      </c>
      <c r="L3">
        <f>_xlfn.HYPGEOM.DIST($A3,$C$1,'Benchmarks by Card Role'!J$2,99,FALSE)</f>
        <v/>
      </c>
      <c r="M3">
        <f>_xlfn.HYPGEOM.DIST($A3,$C$1,'Benchmarks by Card Role'!K$2,99,FALSE)</f>
        <v/>
      </c>
      <c r="N3">
        <f>_xlfn.HYPGEOM.DIST($A3,$C$1,'Benchmarks by Card Role'!L$2,99,FALSE)</f>
        <v/>
      </c>
      <c r="P3">
        <f>_xlfn.HYPGEOM.DIST($A3,$C$1,'Benchmarks by Card Role'!D$12,99,FALSE)</f>
        <v/>
      </c>
      <c r="Q3">
        <f>_xlfn.HYPGEOM.DIST($A3,$C$1,'Benchmarks by Card Role'!E$12,99,FALSE)</f>
        <v/>
      </c>
      <c r="R3">
        <f>_xlfn.HYPGEOM.DIST($A3,$C$1,'Benchmarks by Card Role'!F$12,99,FALSE)</f>
        <v/>
      </c>
      <c r="S3">
        <f>_xlfn.HYPGEOM.DIST($A3,$C$1,'Benchmarks by Card Role'!G$12,99,FALSE)</f>
        <v/>
      </c>
      <c r="T3">
        <f>_xlfn.HYPGEOM.DIST($A3,$C$1,'Benchmarks by Card Role'!H$12,99,FALSE)</f>
        <v/>
      </c>
      <c r="U3">
        <f>_xlfn.HYPGEOM.DIST($A3,$C$1,'Benchmarks by Card Role'!I$12,99,FALSE)</f>
        <v/>
      </c>
      <c r="V3">
        <f>_xlfn.HYPGEOM.DIST($A3,$C$1,'Benchmarks by Card Role'!J$12,99,FALSE)</f>
        <v/>
      </c>
      <c r="W3">
        <f>_xlfn.HYPGEOM.DIST($A3,$C$1,'Benchmarks by Card Role'!K$12,99,FALSE)</f>
        <v/>
      </c>
      <c r="X3">
        <f>_xlfn.HYPGEOM.DIST($A3,$C$1,'Benchmarks by Card Role'!L$12,99,FALSE)</f>
        <v/>
      </c>
      <c r="Z3">
        <f>_xlfn.HYPGEOM.DIST($A3,$C$1,'Benchmarks by Card Role'!D$22,99,FALSE)</f>
        <v/>
      </c>
      <c r="AA3">
        <f>_xlfn.HYPGEOM.DIST($A3,$C$1,'Benchmarks by Card Role'!E$22,99,FALSE)</f>
        <v/>
      </c>
      <c r="AB3">
        <f>_xlfn.HYPGEOM.DIST($A3,$C$1,'Benchmarks by Card Role'!F$22,99,FALSE)</f>
        <v/>
      </c>
      <c r="AC3">
        <f>_xlfn.HYPGEOM.DIST($A3,$C$1,'Benchmarks by Card Role'!G$22,99,FALSE)</f>
        <v/>
      </c>
      <c r="AD3">
        <f>_xlfn.HYPGEOM.DIST($A3,$C$1,'Benchmarks by Card Role'!H$22,99,FALSE)</f>
        <v/>
      </c>
      <c r="AE3">
        <f>_xlfn.HYPGEOM.DIST($A3,$C$1,'Benchmarks by Card Role'!I$22,99,FALSE)</f>
        <v/>
      </c>
      <c r="AF3">
        <f>_xlfn.HYPGEOM.DIST($A3,$C$1,'Benchmarks by Card Role'!J$22,99,FALSE)</f>
        <v/>
      </c>
      <c r="AG3">
        <f>_xlfn.HYPGEOM.DIST($A3,$C$1,'Benchmarks by Card Role'!K$22,99,FALSE)</f>
        <v/>
      </c>
      <c r="AH3">
        <f>_xlfn.HYPGEOM.DIST($A3,$C$1,'Benchmarks by Card Role'!L$22,99,FALSE)</f>
        <v/>
      </c>
      <c r="AJ3">
        <f>_xlfn.HYPGEOM.DIST($A3,$C$1,'Benchmarks by Card Role'!D$32,99,FALSE)</f>
        <v/>
      </c>
      <c r="AK3">
        <f>_xlfn.HYPGEOM.DIST($A3,$C$1,'Benchmarks by Card Role'!E$32,99,FALSE)</f>
        <v/>
      </c>
      <c r="AL3">
        <f>_xlfn.HYPGEOM.DIST($A3,$C$1,'Benchmarks by Card Role'!F$32,99,FALSE)</f>
        <v/>
      </c>
      <c r="AM3">
        <f>_xlfn.HYPGEOM.DIST($A3,$C$1,'Benchmarks by Card Role'!G$32,99,FALSE)</f>
        <v/>
      </c>
      <c r="AN3">
        <f>_xlfn.HYPGEOM.DIST($A3,$C$1,'Benchmarks by Card Role'!H$32,99,FALSE)</f>
        <v/>
      </c>
      <c r="AO3">
        <f>_xlfn.HYPGEOM.DIST($A3,$C$1,'Benchmarks by Card Role'!I$32,99,FALSE)</f>
        <v/>
      </c>
      <c r="AP3">
        <f>_xlfn.HYPGEOM.DIST($A3,$C$1,'Benchmarks by Card Role'!J$32,99,FALSE)</f>
        <v/>
      </c>
      <c r="AQ3">
        <f>_xlfn.HYPGEOM.DIST($A3,$C$1,'Benchmarks by Card Role'!K$32,99,FALSE)</f>
        <v/>
      </c>
      <c r="AR3">
        <f>_xlfn.HYPGEOM.DIST($A3,$C$1,'Benchmarks by Card Role'!L$32,99,FALSE)</f>
        <v/>
      </c>
      <c r="AT3">
        <f>_xlfn.HYPGEOM.DIST($A3,$C$1,'Benchmarks by Card Role'!D$42,99,FALSE)</f>
        <v/>
      </c>
      <c r="AU3">
        <f>_xlfn.HYPGEOM.DIST($A3,$C$1,'Benchmarks by Card Role'!E$42,99,FALSE)</f>
        <v/>
      </c>
      <c r="AV3">
        <f>_xlfn.HYPGEOM.DIST($A3,$C$1,'Benchmarks by Card Role'!F$42,99,FALSE)</f>
        <v/>
      </c>
      <c r="AW3">
        <f>_xlfn.HYPGEOM.DIST($A3,$C$1,'Benchmarks by Card Role'!G$42,99,FALSE)</f>
        <v/>
      </c>
      <c r="AX3">
        <f>_xlfn.HYPGEOM.DIST($A3,$C$1,'Benchmarks by Card Role'!H$42,99,FALSE)</f>
        <v/>
      </c>
      <c r="AY3">
        <f>_xlfn.HYPGEOM.DIST($A3,$C$1,'Benchmarks by Card Role'!I$42,99,FALSE)</f>
        <v/>
      </c>
      <c r="AZ3">
        <f>_xlfn.HYPGEOM.DIST($A3,$C$1,'Benchmarks by Card Role'!J$42,99,FALSE)</f>
        <v/>
      </c>
      <c r="BA3">
        <f>_xlfn.HYPGEOM.DIST($A3,$C$1,'Benchmarks by Card Role'!K$42,99,FALSE)</f>
        <v/>
      </c>
      <c r="BB3">
        <f>_xlfn.HYPGEOM.DIST($A3,$C$1,'Benchmarks by Card Role'!L$42,99,FALSE)</f>
        <v/>
      </c>
    </row>
    <row r="4">
      <c r="A4" t="n">
        <v>3</v>
      </c>
      <c r="B4">
        <f>_xlfn.HYPGEOM.DIST(A4,'Hypergeometric Calculator'!C$3,'Hypergeometric Calculator'!C$4,'Hypergeometric Calculator'!C$2,FALSE)</f>
        <v/>
      </c>
      <c r="C4" t="n">
        <v>11</v>
      </c>
      <c r="F4">
        <f>_xlfn.HYPGEOM.DIST($A4,$C$1,'Benchmarks by Card Role'!D$2,99,FALSE)</f>
        <v/>
      </c>
      <c r="G4">
        <f>_xlfn.HYPGEOM.DIST($A4,$C$1,'Benchmarks by Card Role'!E$2,99,FALSE)</f>
        <v/>
      </c>
      <c r="H4">
        <f>_xlfn.HYPGEOM.DIST($A4,$C$1,'Benchmarks by Card Role'!F$2,99,FALSE)</f>
        <v/>
      </c>
      <c r="I4">
        <f>_xlfn.HYPGEOM.DIST($A4,$C$1,'Benchmarks by Card Role'!G$2,99,FALSE)</f>
        <v/>
      </c>
      <c r="J4">
        <f>_xlfn.HYPGEOM.DIST($A4,$C$1,'Benchmarks by Card Role'!H$2,99,FALSE)</f>
        <v/>
      </c>
      <c r="K4">
        <f>_xlfn.HYPGEOM.DIST($A4,$C$1,'Benchmarks by Card Role'!I$2,99,FALSE)</f>
        <v/>
      </c>
      <c r="L4">
        <f>_xlfn.HYPGEOM.DIST($A4,$C$1,'Benchmarks by Card Role'!J$2,99,FALSE)</f>
        <v/>
      </c>
      <c r="M4">
        <f>_xlfn.HYPGEOM.DIST($A4,$C$1,'Benchmarks by Card Role'!K$2,99,FALSE)</f>
        <v/>
      </c>
      <c r="N4">
        <f>_xlfn.HYPGEOM.DIST($A4,$C$1,'Benchmarks by Card Role'!L$2,99,FALSE)</f>
        <v/>
      </c>
      <c r="P4">
        <f>_xlfn.HYPGEOM.DIST($A4,$C$1,'Benchmarks by Card Role'!D$12,99,FALSE)</f>
        <v/>
      </c>
      <c r="Q4">
        <f>_xlfn.HYPGEOM.DIST($A4,$C$1,'Benchmarks by Card Role'!E$12,99,FALSE)</f>
        <v/>
      </c>
      <c r="R4">
        <f>_xlfn.HYPGEOM.DIST($A4,$C$1,'Benchmarks by Card Role'!F$12,99,FALSE)</f>
        <v/>
      </c>
      <c r="S4">
        <f>_xlfn.HYPGEOM.DIST($A4,$C$1,'Benchmarks by Card Role'!G$12,99,FALSE)</f>
        <v/>
      </c>
      <c r="T4">
        <f>_xlfn.HYPGEOM.DIST($A4,$C$1,'Benchmarks by Card Role'!H$12,99,FALSE)</f>
        <v/>
      </c>
      <c r="U4">
        <f>_xlfn.HYPGEOM.DIST($A4,$C$1,'Benchmarks by Card Role'!I$12,99,FALSE)</f>
        <v/>
      </c>
      <c r="V4">
        <f>_xlfn.HYPGEOM.DIST($A4,$C$1,'Benchmarks by Card Role'!J$12,99,FALSE)</f>
        <v/>
      </c>
      <c r="W4">
        <f>_xlfn.HYPGEOM.DIST($A4,$C$1,'Benchmarks by Card Role'!K$12,99,FALSE)</f>
        <v/>
      </c>
      <c r="X4">
        <f>_xlfn.HYPGEOM.DIST($A4,$C$1,'Benchmarks by Card Role'!L$12,99,FALSE)</f>
        <v/>
      </c>
      <c r="Z4">
        <f>_xlfn.HYPGEOM.DIST($A4,$C$1,'Benchmarks by Card Role'!D$22,99,FALSE)</f>
        <v/>
      </c>
      <c r="AA4">
        <f>_xlfn.HYPGEOM.DIST($A4,$C$1,'Benchmarks by Card Role'!E$22,99,FALSE)</f>
        <v/>
      </c>
      <c r="AB4">
        <f>_xlfn.HYPGEOM.DIST($A4,$C$1,'Benchmarks by Card Role'!F$22,99,FALSE)</f>
        <v/>
      </c>
      <c r="AC4">
        <f>_xlfn.HYPGEOM.DIST($A4,$C$1,'Benchmarks by Card Role'!G$22,99,FALSE)</f>
        <v/>
      </c>
      <c r="AD4">
        <f>_xlfn.HYPGEOM.DIST($A4,$C$1,'Benchmarks by Card Role'!H$22,99,FALSE)</f>
        <v/>
      </c>
      <c r="AE4">
        <f>_xlfn.HYPGEOM.DIST($A4,$C$1,'Benchmarks by Card Role'!I$22,99,FALSE)</f>
        <v/>
      </c>
      <c r="AF4">
        <f>_xlfn.HYPGEOM.DIST($A4,$C$1,'Benchmarks by Card Role'!J$22,99,FALSE)</f>
        <v/>
      </c>
      <c r="AG4">
        <f>_xlfn.HYPGEOM.DIST($A4,$C$1,'Benchmarks by Card Role'!K$22,99,FALSE)</f>
        <v/>
      </c>
      <c r="AH4">
        <f>_xlfn.HYPGEOM.DIST($A4,$C$1,'Benchmarks by Card Role'!L$22,99,FALSE)</f>
        <v/>
      </c>
      <c r="AJ4">
        <f>_xlfn.HYPGEOM.DIST($A4,$C$1,'Benchmarks by Card Role'!D$32,99,FALSE)</f>
        <v/>
      </c>
      <c r="AK4">
        <f>_xlfn.HYPGEOM.DIST($A4,$C$1,'Benchmarks by Card Role'!E$32,99,FALSE)</f>
        <v/>
      </c>
      <c r="AL4">
        <f>_xlfn.HYPGEOM.DIST($A4,$C$1,'Benchmarks by Card Role'!F$32,99,FALSE)</f>
        <v/>
      </c>
      <c r="AM4">
        <f>_xlfn.HYPGEOM.DIST($A4,$C$1,'Benchmarks by Card Role'!G$32,99,FALSE)</f>
        <v/>
      </c>
      <c r="AN4">
        <f>_xlfn.HYPGEOM.DIST($A4,$C$1,'Benchmarks by Card Role'!H$32,99,FALSE)</f>
        <v/>
      </c>
      <c r="AO4">
        <f>_xlfn.HYPGEOM.DIST($A4,$C$1,'Benchmarks by Card Role'!I$32,99,FALSE)</f>
        <v/>
      </c>
      <c r="AP4">
        <f>_xlfn.HYPGEOM.DIST($A4,$C$1,'Benchmarks by Card Role'!J$32,99,FALSE)</f>
        <v/>
      </c>
      <c r="AQ4">
        <f>_xlfn.HYPGEOM.DIST($A4,$C$1,'Benchmarks by Card Role'!K$32,99,FALSE)</f>
        <v/>
      </c>
      <c r="AR4">
        <f>_xlfn.HYPGEOM.DIST($A4,$C$1,'Benchmarks by Card Role'!L$32,99,FALSE)</f>
        <v/>
      </c>
      <c r="AT4">
        <f>_xlfn.HYPGEOM.DIST($A4,$C$1,'Benchmarks by Card Role'!D$42,99,FALSE)</f>
        <v/>
      </c>
      <c r="AU4">
        <f>_xlfn.HYPGEOM.DIST($A4,$C$1,'Benchmarks by Card Role'!E$42,99,FALSE)</f>
        <v/>
      </c>
      <c r="AV4">
        <f>_xlfn.HYPGEOM.DIST($A4,$C$1,'Benchmarks by Card Role'!F$42,99,FALSE)</f>
        <v/>
      </c>
      <c r="AW4">
        <f>_xlfn.HYPGEOM.DIST($A4,$C$1,'Benchmarks by Card Role'!G$42,99,FALSE)</f>
        <v/>
      </c>
      <c r="AX4">
        <f>_xlfn.HYPGEOM.DIST($A4,$C$1,'Benchmarks by Card Role'!H$42,99,FALSE)</f>
        <v/>
      </c>
      <c r="AY4">
        <f>_xlfn.HYPGEOM.DIST($A4,$C$1,'Benchmarks by Card Role'!I$42,99,FALSE)</f>
        <v/>
      </c>
      <c r="AZ4">
        <f>_xlfn.HYPGEOM.DIST($A4,$C$1,'Benchmarks by Card Role'!J$42,99,FALSE)</f>
        <v/>
      </c>
      <c r="BA4">
        <f>_xlfn.HYPGEOM.DIST($A4,$C$1,'Benchmarks by Card Role'!K$42,99,FALSE)</f>
        <v/>
      </c>
      <c r="BB4">
        <f>_xlfn.HYPGEOM.DIST($A4,$C$1,'Benchmarks by Card Role'!L$42,99,FALSE)</f>
        <v/>
      </c>
    </row>
    <row r="5">
      <c r="A5" t="n">
        <v>4</v>
      </c>
      <c r="B5">
        <f>_xlfn.HYPGEOM.DIST(A5,'Hypergeometric Calculator'!C$3,'Hypergeometric Calculator'!C$4,'Hypergeometric Calculator'!C$2,FALSE)</f>
        <v/>
      </c>
      <c r="C5" t="n">
        <v>12</v>
      </c>
      <c r="F5">
        <f>_xlfn.HYPGEOM.DIST($A5,$C$1,'Benchmarks by Card Role'!D$2,99,FALSE)</f>
        <v/>
      </c>
      <c r="G5">
        <f>_xlfn.HYPGEOM.DIST($A5,$C$1,'Benchmarks by Card Role'!E$2,99,FALSE)</f>
        <v/>
      </c>
      <c r="H5">
        <f>_xlfn.HYPGEOM.DIST($A5,$C$1,'Benchmarks by Card Role'!F$2,99,FALSE)</f>
        <v/>
      </c>
      <c r="I5">
        <f>_xlfn.HYPGEOM.DIST($A5,$C$1,'Benchmarks by Card Role'!G$2,99,FALSE)</f>
        <v/>
      </c>
      <c r="J5">
        <f>_xlfn.HYPGEOM.DIST($A5,$C$1,'Benchmarks by Card Role'!H$2,99,FALSE)</f>
        <v/>
      </c>
      <c r="K5">
        <f>_xlfn.HYPGEOM.DIST($A5,$C$1,'Benchmarks by Card Role'!I$2,99,FALSE)</f>
        <v/>
      </c>
      <c r="L5">
        <f>_xlfn.HYPGEOM.DIST($A5,$C$1,'Benchmarks by Card Role'!J$2,99,FALSE)</f>
        <v/>
      </c>
      <c r="M5">
        <f>_xlfn.HYPGEOM.DIST($A5,$C$1,'Benchmarks by Card Role'!K$2,99,FALSE)</f>
        <v/>
      </c>
      <c r="N5">
        <f>_xlfn.HYPGEOM.DIST($A5,$C$1,'Benchmarks by Card Role'!L$2,99,FALSE)</f>
        <v/>
      </c>
      <c r="P5">
        <f>_xlfn.HYPGEOM.DIST($A5,$C$1,'Benchmarks by Card Role'!D$12,99,FALSE)</f>
        <v/>
      </c>
      <c r="Q5">
        <f>_xlfn.HYPGEOM.DIST($A5,$C$1,'Benchmarks by Card Role'!E$12,99,FALSE)</f>
        <v/>
      </c>
      <c r="R5">
        <f>_xlfn.HYPGEOM.DIST($A5,$C$1,'Benchmarks by Card Role'!F$12,99,FALSE)</f>
        <v/>
      </c>
      <c r="S5">
        <f>_xlfn.HYPGEOM.DIST($A5,$C$1,'Benchmarks by Card Role'!G$12,99,FALSE)</f>
        <v/>
      </c>
      <c r="T5">
        <f>_xlfn.HYPGEOM.DIST($A5,$C$1,'Benchmarks by Card Role'!H$12,99,FALSE)</f>
        <v/>
      </c>
      <c r="U5">
        <f>_xlfn.HYPGEOM.DIST($A5,$C$1,'Benchmarks by Card Role'!I$12,99,FALSE)</f>
        <v/>
      </c>
      <c r="V5">
        <f>_xlfn.HYPGEOM.DIST($A5,$C$1,'Benchmarks by Card Role'!J$12,99,FALSE)</f>
        <v/>
      </c>
      <c r="W5">
        <f>_xlfn.HYPGEOM.DIST($A5,$C$1,'Benchmarks by Card Role'!K$12,99,FALSE)</f>
        <v/>
      </c>
      <c r="X5">
        <f>_xlfn.HYPGEOM.DIST($A5,$C$1,'Benchmarks by Card Role'!L$12,99,FALSE)</f>
        <v/>
      </c>
      <c r="Z5">
        <f>_xlfn.HYPGEOM.DIST($A5,$C$1,'Benchmarks by Card Role'!D$22,99,FALSE)</f>
        <v/>
      </c>
      <c r="AA5">
        <f>_xlfn.HYPGEOM.DIST($A5,$C$1,'Benchmarks by Card Role'!E$22,99,FALSE)</f>
        <v/>
      </c>
      <c r="AB5">
        <f>_xlfn.HYPGEOM.DIST($A5,$C$1,'Benchmarks by Card Role'!F$22,99,FALSE)</f>
        <v/>
      </c>
      <c r="AC5">
        <f>_xlfn.HYPGEOM.DIST($A5,$C$1,'Benchmarks by Card Role'!G$22,99,FALSE)</f>
        <v/>
      </c>
      <c r="AD5">
        <f>_xlfn.HYPGEOM.DIST($A5,$C$1,'Benchmarks by Card Role'!H$22,99,FALSE)</f>
        <v/>
      </c>
      <c r="AE5">
        <f>_xlfn.HYPGEOM.DIST($A5,$C$1,'Benchmarks by Card Role'!I$22,99,FALSE)</f>
        <v/>
      </c>
      <c r="AF5">
        <f>_xlfn.HYPGEOM.DIST($A5,$C$1,'Benchmarks by Card Role'!J$22,99,FALSE)</f>
        <v/>
      </c>
      <c r="AG5">
        <f>_xlfn.HYPGEOM.DIST($A5,$C$1,'Benchmarks by Card Role'!K$22,99,FALSE)</f>
        <v/>
      </c>
      <c r="AH5">
        <f>_xlfn.HYPGEOM.DIST($A5,$C$1,'Benchmarks by Card Role'!L$22,99,FALSE)</f>
        <v/>
      </c>
      <c r="AJ5">
        <f>_xlfn.HYPGEOM.DIST($A5,$C$1,'Benchmarks by Card Role'!D$32,99,FALSE)</f>
        <v/>
      </c>
      <c r="AK5">
        <f>_xlfn.HYPGEOM.DIST($A5,$C$1,'Benchmarks by Card Role'!E$32,99,FALSE)</f>
        <v/>
      </c>
      <c r="AL5">
        <f>_xlfn.HYPGEOM.DIST($A5,$C$1,'Benchmarks by Card Role'!F$32,99,FALSE)</f>
        <v/>
      </c>
      <c r="AM5">
        <f>_xlfn.HYPGEOM.DIST($A5,$C$1,'Benchmarks by Card Role'!G$32,99,FALSE)</f>
        <v/>
      </c>
      <c r="AN5">
        <f>_xlfn.HYPGEOM.DIST($A5,$C$1,'Benchmarks by Card Role'!H$32,99,FALSE)</f>
        <v/>
      </c>
      <c r="AO5">
        <f>_xlfn.HYPGEOM.DIST($A5,$C$1,'Benchmarks by Card Role'!I$32,99,FALSE)</f>
        <v/>
      </c>
      <c r="AP5">
        <f>_xlfn.HYPGEOM.DIST($A5,$C$1,'Benchmarks by Card Role'!J$32,99,FALSE)</f>
        <v/>
      </c>
      <c r="AQ5">
        <f>_xlfn.HYPGEOM.DIST($A5,$C$1,'Benchmarks by Card Role'!K$32,99,FALSE)</f>
        <v/>
      </c>
      <c r="AR5">
        <f>_xlfn.HYPGEOM.DIST($A5,$C$1,'Benchmarks by Card Role'!L$32,99,FALSE)</f>
        <v/>
      </c>
      <c r="AT5">
        <f>_xlfn.HYPGEOM.DIST($A5,$C$1,'Benchmarks by Card Role'!D$42,99,FALSE)</f>
        <v/>
      </c>
      <c r="AU5">
        <f>_xlfn.HYPGEOM.DIST($A5,$C$1,'Benchmarks by Card Role'!E$42,99,FALSE)</f>
        <v/>
      </c>
      <c r="AV5">
        <f>_xlfn.HYPGEOM.DIST($A5,$C$1,'Benchmarks by Card Role'!F$42,99,FALSE)</f>
        <v/>
      </c>
      <c r="AW5">
        <f>_xlfn.HYPGEOM.DIST($A5,$C$1,'Benchmarks by Card Role'!G$42,99,FALSE)</f>
        <v/>
      </c>
      <c r="AX5">
        <f>_xlfn.HYPGEOM.DIST($A5,$C$1,'Benchmarks by Card Role'!H$42,99,FALSE)</f>
        <v/>
      </c>
      <c r="AY5">
        <f>_xlfn.HYPGEOM.DIST($A5,$C$1,'Benchmarks by Card Role'!I$42,99,FALSE)</f>
        <v/>
      </c>
      <c r="AZ5">
        <f>_xlfn.HYPGEOM.DIST($A5,$C$1,'Benchmarks by Card Role'!J$42,99,FALSE)</f>
        <v/>
      </c>
      <c r="BA5">
        <f>_xlfn.HYPGEOM.DIST($A5,$C$1,'Benchmarks by Card Role'!K$42,99,FALSE)</f>
        <v/>
      </c>
      <c r="BB5">
        <f>_xlfn.HYPGEOM.DIST($A5,$C$1,'Benchmarks by Card Role'!L$42,99,FALSE)</f>
        <v/>
      </c>
    </row>
    <row r="6">
      <c r="A6" t="n">
        <v>5</v>
      </c>
      <c r="B6">
        <f>_xlfn.HYPGEOM.DIST(A6,'Hypergeometric Calculator'!C$3,'Hypergeometric Calculator'!C$4,'Hypergeometric Calculator'!C$2,FALSE)</f>
        <v/>
      </c>
      <c r="C6" t="n">
        <v>13</v>
      </c>
      <c r="F6">
        <f>_xlfn.HYPGEOM.DIST($A6,$C$1,'Benchmarks by Card Role'!D$2,99,FALSE)</f>
        <v/>
      </c>
      <c r="G6">
        <f>_xlfn.HYPGEOM.DIST($A6,$C$1,'Benchmarks by Card Role'!E$2,99,FALSE)</f>
        <v/>
      </c>
      <c r="H6">
        <f>_xlfn.HYPGEOM.DIST($A6,$C$1,'Benchmarks by Card Role'!F$2,99,FALSE)</f>
        <v/>
      </c>
      <c r="I6">
        <f>_xlfn.HYPGEOM.DIST($A6,$C$1,'Benchmarks by Card Role'!G$2,99,FALSE)</f>
        <v/>
      </c>
      <c r="J6">
        <f>_xlfn.HYPGEOM.DIST($A6,$C$1,'Benchmarks by Card Role'!H$2,99,FALSE)</f>
        <v/>
      </c>
      <c r="K6">
        <f>_xlfn.HYPGEOM.DIST($A6,$C$1,'Benchmarks by Card Role'!I$2,99,FALSE)</f>
        <v/>
      </c>
      <c r="L6">
        <f>_xlfn.HYPGEOM.DIST($A6,$C$1,'Benchmarks by Card Role'!J$2,99,FALSE)</f>
        <v/>
      </c>
      <c r="M6">
        <f>_xlfn.HYPGEOM.DIST($A6,$C$1,'Benchmarks by Card Role'!K$2,99,FALSE)</f>
        <v/>
      </c>
      <c r="N6">
        <f>_xlfn.HYPGEOM.DIST($A6,$C$1,'Benchmarks by Card Role'!L$2,99,FALSE)</f>
        <v/>
      </c>
      <c r="P6">
        <f>_xlfn.HYPGEOM.DIST($A6,$C$1,'Benchmarks by Card Role'!D$12,99,FALSE)</f>
        <v/>
      </c>
      <c r="Q6">
        <f>_xlfn.HYPGEOM.DIST($A6,$C$1,'Benchmarks by Card Role'!E$12,99,FALSE)</f>
        <v/>
      </c>
      <c r="R6">
        <f>_xlfn.HYPGEOM.DIST($A6,$C$1,'Benchmarks by Card Role'!F$12,99,FALSE)</f>
        <v/>
      </c>
      <c r="S6">
        <f>_xlfn.HYPGEOM.DIST($A6,$C$1,'Benchmarks by Card Role'!G$12,99,FALSE)</f>
        <v/>
      </c>
      <c r="T6">
        <f>_xlfn.HYPGEOM.DIST($A6,$C$1,'Benchmarks by Card Role'!H$12,99,FALSE)</f>
        <v/>
      </c>
      <c r="U6">
        <f>_xlfn.HYPGEOM.DIST($A6,$C$1,'Benchmarks by Card Role'!I$12,99,FALSE)</f>
        <v/>
      </c>
      <c r="V6">
        <f>_xlfn.HYPGEOM.DIST($A6,$C$1,'Benchmarks by Card Role'!J$12,99,FALSE)</f>
        <v/>
      </c>
      <c r="W6">
        <f>_xlfn.HYPGEOM.DIST($A6,$C$1,'Benchmarks by Card Role'!K$12,99,FALSE)</f>
        <v/>
      </c>
      <c r="X6">
        <f>_xlfn.HYPGEOM.DIST($A6,$C$1,'Benchmarks by Card Role'!L$12,99,FALSE)</f>
        <v/>
      </c>
      <c r="Z6">
        <f>_xlfn.HYPGEOM.DIST($A6,$C$1,'Benchmarks by Card Role'!D$22,99,FALSE)</f>
        <v/>
      </c>
      <c r="AA6">
        <f>_xlfn.HYPGEOM.DIST($A6,$C$1,'Benchmarks by Card Role'!E$22,99,FALSE)</f>
        <v/>
      </c>
      <c r="AB6">
        <f>_xlfn.HYPGEOM.DIST($A6,$C$1,'Benchmarks by Card Role'!F$22,99,FALSE)</f>
        <v/>
      </c>
      <c r="AC6">
        <f>_xlfn.HYPGEOM.DIST($A6,$C$1,'Benchmarks by Card Role'!G$22,99,FALSE)</f>
        <v/>
      </c>
      <c r="AD6">
        <f>_xlfn.HYPGEOM.DIST($A6,$C$1,'Benchmarks by Card Role'!H$22,99,FALSE)</f>
        <v/>
      </c>
      <c r="AE6">
        <f>_xlfn.HYPGEOM.DIST($A6,$C$1,'Benchmarks by Card Role'!I$22,99,FALSE)</f>
        <v/>
      </c>
      <c r="AF6">
        <f>_xlfn.HYPGEOM.DIST($A6,$C$1,'Benchmarks by Card Role'!J$22,99,FALSE)</f>
        <v/>
      </c>
      <c r="AG6">
        <f>_xlfn.HYPGEOM.DIST($A6,$C$1,'Benchmarks by Card Role'!K$22,99,FALSE)</f>
        <v/>
      </c>
      <c r="AH6">
        <f>_xlfn.HYPGEOM.DIST($A6,$C$1,'Benchmarks by Card Role'!L$22,99,FALSE)</f>
        <v/>
      </c>
      <c r="AJ6">
        <f>_xlfn.HYPGEOM.DIST($A6,$C$1,'Benchmarks by Card Role'!D$32,99,FALSE)</f>
        <v/>
      </c>
      <c r="AK6">
        <f>_xlfn.HYPGEOM.DIST($A6,$C$1,'Benchmarks by Card Role'!E$32,99,FALSE)</f>
        <v/>
      </c>
      <c r="AL6">
        <f>_xlfn.HYPGEOM.DIST($A6,$C$1,'Benchmarks by Card Role'!F$32,99,FALSE)</f>
        <v/>
      </c>
      <c r="AM6">
        <f>_xlfn.HYPGEOM.DIST($A6,$C$1,'Benchmarks by Card Role'!G$32,99,FALSE)</f>
        <v/>
      </c>
      <c r="AN6">
        <f>_xlfn.HYPGEOM.DIST($A6,$C$1,'Benchmarks by Card Role'!H$32,99,FALSE)</f>
        <v/>
      </c>
      <c r="AO6">
        <f>_xlfn.HYPGEOM.DIST($A6,$C$1,'Benchmarks by Card Role'!I$32,99,FALSE)</f>
        <v/>
      </c>
      <c r="AP6">
        <f>_xlfn.HYPGEOM.DIST($A6,$C$1,'Benchmarks by Card Role'!J$32,99,FALSE)</f>
        <v/>
      </c>
      <c r="AQ6">
        <f>_xlfn.HYPGEOM.DIST($A6,$C$1,'Benchmarks by Card Role'!K$32,99,FALSE)</f>
        <v/>
      </c>
      <c r="AR6">
        <f>_xlfn.HYPGEOM.DIST($A6,$C$1,'Benchmarks by Card Role'!L$32,99,FALSE)</f>
        <v/>
      </c>
      <c r="AT6">
        <f>_xlfn.HYPGEOM.DIST($A6,$C$1,'Benchmarks by Card Role'!D$42,99,FALSE)</f>
        <v/>
      </c>
      <c r="AU6">
        <f>_xlfn.HYPGEOM.DIST($A6,$C$1,'Benchmarks by Card Role'!E$42,99,FALSE)</f>
        <v/>
      </c>
      <c r="AV6">
        <f>_xlfn.HYPGEOM.DIST($A6,$C$1,'Benchmarks by Card Role'!F$42,99,FALSE)</f>
        <v/>
      </c>
      <c r="AW6">
        <f>_xlfn.HYPGEOM.DIST($A6,$C$1,'Benchmarks by Card Role'!G$42,99,FALSE)</f>
        <v/>
      </c>
      <c r="AX6">
        <f>_xlfn.HYPGEOM.DIST($A6,$C$1,'Benchmarks by Card Role'!H$42,99,FALSE)</f>
        <v/>
      </c>
      <c r="AY6">
        <f>_xlfn.HYPGEOM.DIST($A6,$C$1,'Benchmarks by Card Role'!I$42,99,FALSE)</f>
        <v/>
      </c>
      <c r="AZ6">
        <f>_xlfn.HYPGEOM.DIST($A6,$C$1,'Benchmarks by Card Role'!J$42,99,FALSE)</f>
        <v/>
      </c>
      <c r="BA6">
        <f>_xlfn.HYPGEOM.DIST($A6,$C$1,'Benchmarks by Card Role'!K$42,99,FALSE)</f>
        <v/>
      </c>
      <c r="BB6">
        <f>_xlfn.HYPGEOM.DIST($A6,$C$1,'Benchmarks by Card Role'!L$42,99,FALSE)</f>
        <v/>
      </c>
    </row>
    <row r="7">
      <c r="A7" t="n">
        <v>6</v>
      </c>
      <c r="F7">
        <f>_xlfn.HYPGEOM.DIST($A7,$C$1,'Benchmarks by Card Role'!D$2,99,FALSE)</f>
        <v/>
      </c>
      <c r="G7">
        <f>_xlfn.HYPGEOM.DIST($A7,$C$1,'Benchmarks by Card Role'!E$2,99,FALSE)</f>
        <v/>
      </c>
      <c r="H7">
        <f>_xlfn.HYPGEOM.DIST($A7,$C$1,'Benchmarks by Card Role'!F$2,99,FALSE)</f>
        <v/>
      </c>
      <c r="I7">
        <f>_xlfn.HYPGEOM.DIST($A7,$C$1,'Benchmarks by Card Role'!G$2,99,FALSE)</f>
        <v/>
      </c>
      <c r="J7">
        <f>_xlfn.HYPGEOM.DIST($A7,$C$1,'Benchmarks by Card Role'!H$2,99,FALSE)</f>
        <v/>
      </c>
      <c r="K7">
        <f>_xlfn.HYPGEOM.DIST($A7,$C$1,'Benchmarks by Card Role'!I$2,99,FALSE)</f>
        <v/>
      </c>
      <c r="L7">
        <f>_xlfn.HYPGEOM.DIST($A7,$C$1,'Benchmarks by Card Role'!J$2,99,FALSE)</f>
        <v/>
      </c>
      <c r="M7">
        <f>_xlfn.HYPGEOM.DIST($A7,$C$1,'Benchmarks by Card Role'!K$2,99,FALSE)</f>
        <v/>
      </c>
      <c r="N7">
        <f>_xlfn.HYPGEOM.DIST($A7,$C$1,'Benchmarks by Card Role'!L$2,99,FALSE)</f>
        <v/>
      </c>
      <c r="P7">
        <f>_xlfn.HYPGEOM.DIST($A7,$C$1,'Benchmarks by Card Role'!D$12,99,FALSE)</f>
        <v/>
      </c>
      <c r="Q7">
        <f>_xlfn.HYPGEOM.DIST($A7,$C$1,'Benchmarks by Card Role'!E$12,99,FALSE)</f>
        <v/>
      </c>
      <c r="R7">
        <f>_xlfn.HYPGEOM.DIST($A7,$C$1,'Benchmarks by Card Role'!F$12,99,FALSE)</f>
        <v/>
      </c>
      <c r="S7">
        <f>_xlfn.HYPGEOM.DIST($A7,$C$1,'Benchmarks by Card Role'!G$12,99,FALSE)</f>
        <v/>
      </c>
      <c r="T7">
        <f>_xlfn.HYPGEOM.DIST($A7,$C$1,'Benchmarks by Card Role'!H$12,99,FALSE)</f>
        <v/>
      </c>
      <c r="U7">
        <f>_xlfn.HYPGEOM.DIST($A7,$C$1,'Benchmarks by Card Role'!I$12,99,FALSE)</f>
        <v/>
      </c>
      <c r="V7">
        <f>_xlfn.HYPGEOM.DIST($A7,$C$1,'Benchmarks by Card Role'!J$12,99,FALSE)</f>
        <v/>
      </c>
      <c r="W7">
        <f>_xlfn.HYPGEOM.DIST($A7,$C$1,'Benchmarks by Card Role'!K$12,99,FALSE)</f>
        <v/>
      </c>
      <c r="X7">
        <f>_xlfn.HYPGEOM.DIST($A7,$C$1,'Benchmarks by Card Role'!L$12,99,FALSE)</f>
        <v/>
      </c>
      <c r="Z7">
        <f>_xlfn.HYPGEOM.DIST($A7,$C$1,'Benchmarks by Card Role'!D$22,99,FALSE)</f>
        <v/>
      </c>
      <c r="AA7">
        <f>_xlfn.HYPGEOM.DIST($A7,$C$1,'Benchmarks by Card Role'!E$22,99,FALSE)</f>
        <v/>
      </c>
      <c r="AB7">
        <f>_xlfn.HYPGEOM.DIST($A7,$C$1,'Benchmarks by Card Role'!F$22,99,FALSE)</f>
        <v/>
      </c>
      <c r="AC7">
        <f>_xlfn.HYPGEOM.DIST($A7,$C$1,'Benchmarks by Card Role'!G$22,99,FALSE)</f>
        <v/>
      </c>
      <c r="AD7">
        <f>_xlfn.HYPGEOM.DIST($A7,$C$1,'Benchmarks by Card Role'!H$22,99,FALSE)</f>
        <v/>
      </c>
      <c r="AE7">
        <f>_xlfn.HYPGEOM.DIST($A7,$C$1,'Benchmarks by Card Role'!I$22,99,FALSE)</f>
        <v/>
      </c>
      <c r="AF7">
        <f>_xlfn.HYPGEOM.DIST($A7,$C$1,'Benchmarks by Card Role'!J$22,99,FALSE)</f>
        <v/>
      </c>
      <c r="AG7">
        <f>_xlfn.HYPGEOM.DIST($A7,$C$1,'Benchmarks by Card Role'!K$22,99,FALSE)</f>
        <v/>
      </c>
      <c r="AH7">
        <f>_xlfn.HYPGEOM.DIST($A7,$C$1,'Benchmarks by Card Role'!L$22,99,FALSE)</f>
        <v/>
      </c>
      <c r="AJ7">
        <f>_xlfn.HYPGEOM.DIST($A7,$C$1,'Benchmarks by Card Role'!D$32,99,FALSE)</f>
        <v/>
      </c>
      <c r="AK7">
        <f>_xlfn.HYPGEOM.DIST($A7,$C$1,'Benchmarks by Card Role'!E$32,99,FALSE)</f>
        <v/>
      </c>
      <c r="AL7">
        <f>_xlfn.HYPGEOM.DIST($A7,$C$1,'Benchmarks by Card Role'!F$32,99,FALSE)</f>
        <v/>
      </c>
      <c r="AM7">
        <f>_xlfn.HYPGEOM.DIST($A7,$C$1,'Benchmarks by Card Role'!G$32,99,FALSE)</f>
        <v/>
      </c>
      <c r="AN7">
        <f>_xlfn.HYPGEOM.DIST($A7,$C$1,'Benchmarks by Card Role'!H$32,99,FALSE)</f>
        <v/>
      </c>
      <c r="AO7">
        <f>_xlfn.HYPGEOM.DIST($A7,$C$1,'Benchmarks by Card Role'!I$32,99,FALSE)</f>
        <v/>
      </c>
      <c r="AP7">
        <f>_xlfn.HYPGEOM.DIST($A7,$C$1,'Benchmarks by Card Role'!J$32,99,FALSE)</f>
        <v/>
      </c>
      <c r="AQ7">
        <f>_xlfn.HYPGEOM.DIST($A7,$C$1,'Benchmarks by Card Role'!K$32,99,FALSE)</f>
        <v/>
      </c>
      <c r="AR7">
        <f>_xlfn.HYPGEOM.DIST($A7,$C$1,'Benchmarks by Card Role'!L$32,99,FALSE)</f>
        <v/>
      </c>
      <c r="AT7">
        <f>_xlfn.HYPGEOM.DIST($A7,$C$1,'Benchmarks by Card Role'!D$42,99,FALSE)</f>
        <v/>
      </c>
      <c r="AU7">
        <f>_xlfn.HYPGEOM.DIST($A7,$C$1,'Benchmarks by Card Role'!E$42,99,FALSE)</f>
        <v/>
      </c>
      <c r="AV7">
        <f>_xlfn.HYPGEOM.DIST($A7,$C$1,'Benchmarks by Card Role'!F$42,99,FALSE)</f>
        <v/>
      </c>
      <c r="AW7">
        <f>_xlfn.HYPGEOM.DIST($A7,$C$1,'Benchmarks by Card Role'!G$42,99,FALSE)</f>
        <v/>
      </c>
      <c r="AX7">
        <f>_xlfn.HYPGEOM.DIST($A7,$C$1,'Benchmarks by Card Role'!H$42,99,FALSE)</f>
        <v/>
      </c>
      <c r="AY7">
        <f>_xlfn.HYPGEOM.DIST($A7,$C$1,'Benchmarks by Card Role'!I$42,99,FALSE)</f>
        <v/>
      </c>
      <c r="AZ7">
        <f>_xlfn.HYPGEOM.DIST($A7,$C$1,'Benchmarks by Card Role'!J$42,99,FALSE)</f>
        <v/>
      </c>
      <c r="BA7">
        <f>_xlfn.HYPGEOM.DIST($A7,$C$1,'Benchmarks by Card Role'!K$42,99,FALSE)</f>
        <v/>
      </c>
      <c r="BB7">
        <f>_xlfn.HYPGEOM.DIST($A7,$C$1,'Benchmarks by Card Role'!L$42,99,FALSE)</f>
        <v/>
      </c>
    </row>
    <row r="8">
      <c r="A8" t="n">
        <v>7</v>
      </c>
      <c r="F8">
        <f>_xlfn.HYPGEOM.DIST($A8,$C$1,'Benchmarks by Card Role'!D$2,99,FALSE)</f>
        <v/>
      </c>
      <c r="G8">
        <f>_xlfn.HYPGEOM.DIST($A8,$C$1,'Benchmarks by Card Role'!E$2,99,FALSE)</f>
        <v/>
      </c>
      <c r="H8">
        <f>_xlfn.HYPGEOM.DIST($A8,$C$1,'Benchmarks by Card Role'!F$2,99,FALSE)</f>
        <v/>
      </c>
      <c r="I8">
        <f>_xlfn.HYPGEOM.DIST($A8,$C$1,'Benchmarks by Card Role'!G$2,99,FALSE)</f>
        <v/>
      </c>
      <c r="J8">
        <f>_xlfn.HYPGEOM.DIST($A8,$C$1,'Benchmarks by Card Role'!H$2,99,FALSE)</f>
        <v/>
      </c>
      <c r="K8">
        <f>_xlfn.HYPGEOM.DIST($A8,$C$1,'Benchmarks by Card Role'!I$2,99,FALSE)</f>
        <v/>
      </c>
      <c r="L8">
        <f>_xlfn.HYPGEOM.DIST($A8,$C$1,'Benchmarks by Card Role'!J$2,99,FALSE)</f>
        <v/>
      </c>
      <c r="M8">
        <f>_xlfn.HYPGEOM.DIST($A8,$C$1,'Benchmarks by Card Role'!K$2,99,FALSE)</f>
        <v/>
      </c>
      <c r="N8">
        <f>_xlfn.HYPGEOM.DIST($A8,$C$1,'Benchmarks by Card Role'!L$2,99,FALSE)</f>
        <v/>
      </c>
      <c r="P8">
        <f>_xlfn.HYPGEOM.DIST($A8,$C$1,'Benchmarks by Card Role'!D$12,99,FALSE)</f>
        <v/>
      </c>
      <c r="Q8">
        <f>_xlfn.HYPGEOM.DIST($A8,$C$1,'Benchmarks by Card Role'!E$12,99,FALSE)</f>
        <v/>
      </c>
      <c r="R8">
        <f>_xlfn.HYPGEOM.DIST($A8,$C$1,'Benchmarks by Card Role'!F$12,99,FALSE)</f>
        <v/>
      </c>
      <c r="S8">
        <f>_xlfn.HYPGEOM.DIST($A8,$C$1,'Benchmarks by Card Role'!G$12,99,FALSE)</f>
        <v/>
      </c>
      <c r="T8">
        <f>_xlfn.HYPGEOM.DIST($A8,$C$1,'Benchmarks by Card Role'!H$12,99,FALSE)</f>
        <v/>
      </c>
      <c r="U8">
        <f>_xlfn.HYPGEOM.DIST($A8,$C$1,'Benchmarks by Card Role'!I$12,99,FALSE)</f>
        <v/>
      </c>
      <c r="V8">
        <f>_xlfn.HYPGEOM.DIST($A8,$C$1,'Benchmarks by Card Role'!J$12,99,FALSE)</f>
        <v/>
      </c>
      <c r="W8">
        <f>_xlfn.HYPGEOM.DIST($A8,$C$1,'Benchmarks by Card Role'!K$12,99,FALSE)</f>
        <v/>
      </c>
      <c r="X8">
        <f>_xlfn.HYPGEOM.DIST($A8,$C$1,'Benchmarks by Card Role'!L$12,99,FALSE)</f>
        <v/>
      </c>
      <c r="Z8">
        <f>_xlfn.HYPGEOM.DIST($A8,$C$1,'Benchmarks by Card Role'!D$22,99,FALSE)</f>
        <v/>
      </c>
      <c r="AA8">
        <f>_xlfn.HYPGEOM.DIST($A8,$C$1,'Benchmarks by Card Role'!E$22,99,FALSE)</f>
        <v/>
      </c>
      <c r="AB8">
        <f>_xlfn.HYPGEOM.DIST($A8,$C$1,'Benchmarks by Card Role'!F$22,99,FALSE)</f>
        <v/>
      </c>
      <c r="AC8">
        <f>_xlfn.HYPGEOM.DIST($A8,$C$1,'Benchmarks by Card Role'!G$22,99,FALSE)</f>
        <v/>
      </c>
      <c r="AD8">
        <f>_xlfn.HYPGEOM.DIST($A8,$C$1,'Benchmarks by Card Role'!H$22,99,FALSE)</f>
        <v/>
      </c>
      <c r="AE8">
        <f>_xlfn.HYPGEOM.DIST($A8,$C$1,'Benchmarks by Card Role'!I$22,99,FALSE)</f>
        <v/>
      </c>
      <c r="AF8">
        <f>_xlfn.HYPGEOM.DIST($A8,$C$1,'Benchmarks by Card Role'!J$22,99,FALSE)</f>
        <v/>
      </c>
      <c r="AG8">
        <f>_xlfn.HYPGEOM.DIST($A8,$C$1,'Benchmarks by Card Role'!K$22,99,FALSE)</f>
        <v/>
      </c>
      <c r="AH8">
        <f>_xlfn.HYPGEOM.DIST($A8,$C$1,'Benchmarks by Card Role'!L$22,99,FALSE)</f>
        <v/>
      </c>
      <c r="AJ8">
        <f>_xlfn.HYPGEOM.DIST($A8,$C$1,'Benchmarks by Card Role'!D$32,99,FALSE)</f>
        <v/>
      </c>
      <c r="AK8">
        <f>_xlfn.HYPGEOM.DIST($A8,$C$1,'Benchmarks by Card Role'!E$32,99,FALSE)</f>
        <v/>
      </c>
      <c r="AL8">
        <f>_xlfn.HYPGEOM.DIST($A8,$C$1,'Benchmarks by Card Role'!F$32,99,FALSE)</f>
        <v/>
      </c>
      <c r="AM8">
        <f>_xlfn.HYPGEOM.DIST($A8,$C$1,'Benchmarks by Card Role'!G$32,99,FALSE)</f>
        <v/>
      </c>
      <c r="AN8">
        <f>_xlfn.HYPGEOM.DIST($A8,$C$1,'Benchmarks by Card Role'!H$32,99,FALSE)</f>
        <v/>
      </c>
      <c r="AO8">
        <f>_xlfn.HYPGEOM.DIST($A8,$C$1,'Benchmarks by Card Role'!I$32,99,FALSE)</f>
        <v/>
      </c>
      <c r="AP8">
        <f>_xlfn.HYPGEOM.DIST($A8,$C$1,'Benchmarks by Card Role'!J$32,99,FALSE)</f>
        <v/>
      </c>
      <c r="AQ8">
        <f>_xlfn.HYPGEOM.DIST($A8,$C$1,'Benchmarks by Card Role'!K$32,99,FALSE)</f>
        <v/>
      </c>
      <c r="AR8">
        <f>_xlfn.HYPGEOM.DIST($A8,$C$1,'Benchmarks by Card Role'!L$32,99,FALSE)</f>
        <v/>
      </c>
      <c r="AT8">
        <f>_xlfn.HYPGEOM.DIST($A8,$C$1,'Benchmarks by Card Role'!D$42,99,FALSE)</f>
        <v/>
      </c>
      <c r="AU8">
        <f>_xlfn.HYPGEOM.DIST($A8,$C$1,'Benchmarks by Card Role'!E$42,99,FALSE)</f>
        <v/>
      </c>
      <c r="AV8">
        <f>_xlfn.HYPGEOM.DIST($A8,$C$1,'Benchmarks by Card Role'!F$42,99,FALSE)</f>
        <v/>
      </c>
      <c r="AW8">
        <f>_xlfn.HYPGEOM.DIST($A8,$C$1,'Benchmarks by Card Role'!G$42,99,FALSE)</f>
        <v/>
      </c>
      <c r="AX8">
        <f>_xlfn.HYPGEOM.DIST($A8,$C$1,'Benchmarks by Card Role'!H$42,99,FALSE)</f>
        <v/>
      </c>
      <c r="AY8">
        <f>_xlfn.HYPGEOM.DIST($A8,$C$1,'Benchmarks by Card Role'!I$42,99,FALSE)</f>
        <v/>
      </c>
      <c r="AZ8">
        <f>_xlfn.HYPGEOM.DIST($A8,$C$1,'Benchmarks by Card Role'!J$42,99,FALSE)</f>
        <v/>
      </c>
      <c r="BA8">
        <f>_xlfn.HYPGEOM.DIST($A8,$C$1,'Benchmarks by Card Role'!K$42,99,FALSE)</f>
        <v/>
      </c>
      <c r="BB8">
        <f>_xlfn.HYPGEOM.DIST($A8,$C$1,'Benchmarks by Card Role'!L$42,99,FALSE)</f>
        <v/>
      </c>
    </row>
    <row r="9">
      <c r="A9" t="n">
        <v>8</v>
      </c>
      <c r="F9">
        <f>_xlfn.HYPGEOM.DIST($A9,$C$1,'Benchmarks by Card Role'!D$2,99,FALSE)</f>
        <v/>
      </c>
      <c r="G9">
        <f>_xlfn.HYPGEOM.DIST($A9,$C$1,'Benchmarks by Card Role'!E$2,99,FALSE)</f>
        <v/>
      </c>
      <c r="H9">
        <f>_xlfn.HYPGEOM.DIST($A9,$C$1,'Benchmarks by Card Role'!F$2,99,FALSE)</f>
        <v/>
      </c>
      <c r="I9">
        <f>_xlfn.HYPGEOM.DIST($A9,$C$1,'Benchmarks by Card Role'!G$2,99,FALSE)</f>
        <v/>
      </c>
      <c r="J9">
        <f>_xlfn.HYPGEOM.DIST($A9,$C$1,'Benchmarks by Card Role'!H$2,99,FALSE)</f>
        <v/>
      </c>
      <c r="K9">
        <f>_xlfn.HYPGEOM.DIST($A9,$C$1,'Benchmarks by Card Role'!I$2,99,FALSE)</f>
        <v/>
      </c>
      <c r="L9">
        <f>_xlfn.HYPGEOM.DIST($A9,$C$1,'Benchmarks by Card Role'!J$2,99,FALSE)</f>
        <v/>
      </c>
      <c r="M9">
        <f>_xlfn.HYPGEOM.DIST($A9,$C$1,'Benchmarks by Card Role'!K$2,99,FALSE)</f>
        <v/>
      </c>
      <c r="N9">
        <f>_xlfn.HYPGEOM.DIST($A9,$C$1,'Benchmarks by Card Role'!L$2,99,FALSE)</f>
        <v/>
      </c>
      <c r="P9">
        <f>_xlfn.HYPGEOM.DIST($A9,$C$1,'Benchmarks by Card Role'!D$12,99,FALSE)</f>
        <v/>
      </c>
      <c r="Q9">
        <f>_xlfn.HYPGEOM.DIST($A9,$C$1,'Benchmarks by Card Role'!E$12,99,FALSE)</f>
        <v/>
      </c>
      <c r="R9">
        <f>_xlfn.HYPGEOM.DIST($A9,$C$1,'Benchmarks by Card Role'!F$12,99,FALSE)</f>
        <v/>
      </c>
      <c r="S9">
        <f>_xlfn.HYPGEOM.DIST($A9,$C$1,'Benchmarks by Card Role'!G$12,99,FALSE)</f>
        <v/>
      </c>
      <c r="T9">
        <f>_xlfn.HYPGEOM.DIST($A9,$C$1,'Benchmarks by Card Role'!H$12,99,FALSE)</f>
        <v/>
      </c>
      <c r="U9">
        <f>_xlfn.HYPGEOM.DIST($A9,$C$1,'Benchmarks by Card Role'!I$12,99,FALSE)</f>
        <v/>
      </c>
      <c r="V9">
        <f>_xlfn.HYPGEOM.DIST($A9,$C$1,'Benchmarks by Card Role'!J$12,99,FALSE)</f>
        <v/>
      </c>
      <c r="W9">
        <f>_xlfn.HYPGEOM.DIST($A9,$C$1,'Benchmarks by Card Role'!K$12,99,FALSE)</f>
        <v/>
      </c>
      <c r="X9">
        <f>_xlfn.HYPGEOM.DIST($A9,$C$1,'Benchmarks by Card Role'!L$12,99,FALSE)</f>
        <v/>
      </c>
      <c r="Z9">
        <f>_xlfn.HYPGEOM.DIST($A9,$C$1,'Benchmarks by Card Role'!D$22,99,FALSE)</f>
        <v/>
      </c>
      <c r="AA9">
        <f>_xlfn.HYPGEOM.DIST($A9,$C$1,'Benchmarks by Card Role'!E$22,99,FALSE)</f>
        <v/>
      </c>
      <c r="AB9">
        <f>_xlfn.HYPGEOM.DIST($A9,$C$1,'Benchmarks by Card Role'!F$22,99,FALSE)</f>
        <v/>
      </c>
      <c r="AC9">
        <f>_xlfn.HYPGEOM.DIST($A9,$C$1,'Benchmarks by Card Role'!G$22,99,FALSE)</f>
        <v/>
      </c>
      <c r="AD9">
        <f>_xlfn.HYPGEOM.DIST($A9,$C$1,'Benchmarks by Card Role'!H$22,99,FALSE)</f>
        <v/>
      </c>
      <c r="AE9">
        <f>_xlfn.HYPGEOM.DIST($A9,$C$1,'Benchmarks by Card Role'!I$22,99,FALSE)</f>
        <v/>
      </c>
      <c r="AF9">
        <f>_xlfn.HYPGEOM.DIST($A9,$C$1,'Benchmarks by Card Role'!J$22,99,FALSE)</f>
        <v/>
      </c>
      <c r="AG9">
        <f>_xlfn.HYPGEOM.DIST($A9,$C$1,'Benchmarks by Card Role'!K$22,99,FALSE)</f>
        <v/>
      </c>
      <c r="AH9">
        <f>_xlfn.HYPGEOM.DIST($A9,$C$1,'Benchmarks by Card Role'!L$22,99,FALSE)</f>
        <v/>
      </c>
      <c r="AJ9">
        <f>_xlfn.HYPGEOM.DIST($A9,$C$1,'Benchmarks by Card Role'!D$32,99,FALSE)</f>
        <v/>
      </c>
      <c r="AK9">
        <f>_xlfn.HYPGEOM.DIST($A9,$C$1,'Benchmarks by Card Role'!E$32,99,FALSE)</f>
        <v/>
      </c>
      <c r="AL9">
        <f>_xlfn.HYPGEOM.DIST($A9,$C$1,'Benchmarks by Card Role'!F$32,99,FALSE)</f>
        <v/>
      </c>
      <c r="AM9">
        <f>_xlfn.HYPGEOM.DIST($A9,$C$1,'Benchmarks by Card Role'!G$32,99,FALSE)</f>
        <v/>
      </c>
      <c r="AN9">
        <f>_xlfn.HYPGEOM.DIST($A9,$C$1,'Benchmarks by Card Role'!H$32,99,FALSE)</f>
        <v/>
      </c>
      <c r="AO9">
        <f>_xlfn.HYPGEOM.DIST($A9,$C$1,'Benchmarks by Card Role'!I$32,99,FALSE)</f>
        <v/>
      </c>
      <c r="AP9">
        <f>_xlfn.HYPGEOM.DIST($A9,$C$1,'Benchmarks by Card Role'!J$32,99,FALSE)</f>
        <v/>
      </c>
      <c r="AQ9">
        <f>_xlfn.HYPGEOM.DIST($A9,$C$1,'Benchmarks by Card Role'!K$32,99,FALSE)</f>
        <v/>
      </c>
      <c r="AR9">
        <f>_xlfn.HYPGEOM.DIST($A9,$C$1,'Benchmarks by Card Role'!L$32,99,FALSE)</f>
        <v/>
      </c>
      <c r="AT9">
        <f>_xlfn.HYPGEOM.DIST($A9,$C$1,'Benchmarks by Card Role'!D$42,99,FALSE)</f>
        <v/>
      </c>
      <c r="AU9">
        <f>_xlfn.HYPGEOM.DIST($A9,$C$1,'Benchmarks by Card Role'!E$42,99,FALSE)</f>
        <v/>
      </c>
      <c r="AV9">
        <f>_xlfn.HYPGEOM.DIST($A9,$C$1,'Benchmarks by Card Role'!F$42,99,FALSE)</f>
        <v/>
      </c>
      <c r="AW9">
        <f>_xlfn.HYPGEOM.DIST($A9,$C$1,'Benchmarks by Card Role'!G$42,99,FALSE)</f>
        <v/>
      </c>
      <c r="AX9">
        <f>_xlfn.HYPGEOM.DIST($A9,$C$1,'Benchmarks by Card Role'!H$42,99,FALSE)</f>
        <v/>
      </c>
      <c r="AY9">
        <f>_xlfn.HYPGEOM.DIST($A9,$C$1,'Benchmarks by Card Role'!I$42,99,FALSE)</f>
        <v/>
      </c>
      <c r="AZ9">
        <f>_xlfn.HYPGEOM.DIST($A9,$C$1,'Benchmarks by Card Role'!J$42,99,FALSE)</f>
        <v/>
      </c>
      <c r="BA9">
        <f>_xlfn.HYPGEOM.DIST($A9,$C$1,'Benchmarks by Card Role'!K$42,99,FALSE)</f>
        <v/>
      </c>
      <c r="BB9">
        <f>_xlfn.HYPGEOM.DIST($A9,$C$1,'Benchmarks by Card Role'!L$42,99,FALSE)</f>
        <v/>
      </c>
    </row>
    <row r="10">
      <c r="F10">
        <f>SUM(F1*$A$1,F2*$A$2,F3*$A$3,F4*$A$4,F5*$A$5,F6*$A$6,F7*$A$7,F8*$A$8,F9*$A$9)</f>
        <v/>
      </c>
      <c r="G10">
        <f>SUM(G1*$A$1,G2*$A$2,G3*$A$3,G4*$A$4,G5*$A$5,G6*$A$6,G7*$A$7,G8*$A$8,G9*$A$9)</f>
        <v/>
      </c>
      <c r="H10">
        <f>SUM(H1*$A$1,H2*$A$2,H3*$A$3,H4*$A$4,H5*$A$5,H6*$A$6,H7*$A$7,H8*$A$8,H9*$A$9)</f>
        <v/>
      </c>
      <c r="I10">
        <f>SUM(I1*$A$1,I2*$A$2,I3*$A$3,I4*$A$4,I5*$A$5,I6*$A$6,I7*$A$7,I8*$A$8,I9*$A$9)</f>
        <v/>
      </c>
      <c r="J10">
        <f>SUM(J1*$A$1,J2*$A$2,J3*$A$3,J4*$A$4,J5*$A$5,J6*$A$6,J7*$A$7,J8*$A$8,J9*$A$9)</f>
        <v/>
      </c>
      <c r="K10">
        <f>SUM(K1*$A$1,K2*$A$2,K3*$A$3,K4*$A$4,K5*$A$5,K6*$A$6,K7*$A$7,K8*$A$8,K9*$A$9)</f>
        <v/>
      </c>
      <c r="L10">
        <f>SUM(L1*$A$1,L2*$A$2,L3*$A$3,L4*$A$4,L5*$A$5,L6*$A$6,L7*$A$7,L8*$A$8,L9*$A$9)</f>
        <v/>
      </c>
      <c r="M10">
        <f>SUM(M1*$A$1,M2*$A$2,M3*$A$3,M4*$A$4,M5*$A$5,M6*$A$6,M7*$A$7,M8*$A$8,M9*$A$9)</f>
        <v/>
      </c>
      <c r="N10">
        <f>SUM(N1*$A$1,N2*$A$2,N3*$A$3,N4*$A$4,N5*$A$5,N6*$A$6,N7*$A$7,N8*$A$8,N9*$A$9)</f>
        <v/>
      </c>
      <c r="P10">
        <f>SUM(P1*$A$1,P2*$A$2,P3*$A$3,P4*$A$4,P5*$A$5,P6*$A$6,P7*$A$7,P8*$A$8,P9*$A$9)</f>
        <v/>
      </c>
      <c r="Q10">
        <f>SUM(Q1*$A$1,Q2*$A$2,Q3*$A$3,Q4*$A$4,Q5*$A$5,Q6*$A$6,Q7*$A$7,Q8*$A$8,Q9*$A$9)</f>
        <v/>
      </c>
      <c r="R10">
        <f>SUM(R1*$A$1,R2*$A$2,R3*$A$3,R4*$A$4,R5*$A$5,R6*$A$6,R7*$A$7,R8*$A$8,R9*$A$9)</f>
        <v/>
      </c>
      <c r="S10">
        <f>SUM(S1*$A$1,S2*$A$2,S3*$A$3,S4*$A$4,S5*$A$5,S6*$A$6,S7*$A$7,S8*$A$8,S9*$A$9)</f>
        <v/>
      </c>
      <c r="T10">
        <f>SUM(T1*$A$1,T2*$A$2,T3*$A$3,T4*$A$4,T5*$A$5,T6*$A$6,T7*$A$7,T8*$A$8,T9*$A$9)</f>
        <v/>
      </c>
      <c r="U10">
        <f>SUM(U1*$A$1,U2*$A$2,U3*$A$3,U4*$A$4,U5*$A$5,U6*$A$6,U7*$A$7,U8*$A$8,U9*$A$9)</f>
        <v/>
      </c>
      <c r="V10">
        <f>SUM(V1*$A$1,V2*$A$2,V3*$A$3,V4*$A$4,V5*$A$5,V6*$A$6,V7*$A$7,V8*$A$8,V9*$A$9)</f>
        <v/>
      </c>
      <c r="W10">
        <f>SUM(W1*$A$1,W2*$A$2,W3*$A$3,W4*$A$4,W5*$A$5,W6*$A$6,W7*$A$7,W8*$A$8,W9*$A$9)</f>
        <v/>
      </c>
      <c r="X10">
        <f>SUM(X1*$A$1,X2*$A$2,X3*$A$3,X4*$A$4,X5*$A$5,X6*$A$6,X7*$A$7,X8*$A$8,X9*$A$9)</f>
        <v/>
      </c>
      <c r="Z10">
        <f>SUM(Z1*$A$1,Z2*$A$2,Z3*$A$3,Z4*$A$4,Z5*$A$5,Z6*$A$6,Z7*$A$7,Z8*$A$8,Z9*$A$9)</f>
        <v/>
      </c>
      <c r="AA10">
        <f>SUM(AA1*$A$1,AA2*$A$2,AA3*$A$3,AA4*$A$4,AA5*$A$5,AA6*$A$6,AA7*$A$7,AA8*$A$8,AA9*$A$9)</f>
        <v/>
      </c>
      <c r="AB10">
        <f>SUM(AB1*$A$1,AB2*$A$2,AB3*$A$3,AB4*$A$4,AB5*$A$5,AB6*$A$6,AB7*$A$7,AB8*$A$8,AB9*$A$9)</f>
        <v/>
      </c>
      <c r="AC10">
        <f>SUM(AC1*$A$1,AC2*$A$2,AC3*$A$3,AC4*$A$4,AC5*$A$5,AC6*$A$6,AC7*$A$7,AC8*$A$8,AC9*$A$9)</f>
        <v/>
      </c>
      <c r="AD10">
        <f>SUM(AD1*$A$1,AD2*$A$2,AD3*$A$3,AD4*$A$4,AD5*$A$5,AD6*$A$6,AD7*$A$7,AD8*$A$8,AD9*$A$9)</f>
        <v/>
      </c>
      <c r="AE10">
        <f>SUM(AE1*$A$1,AE2*$A$2,AE3*$A$3,AE4*$A$4,AE5*$A$5,AE6*$A$6,AE7*$A$7,AE8*$A$8,AE9*$A$9)</f>
        <v/>
      </c>
      <c r="AF10">
        <f>SUM(AF1*$A$1,AF2*$A$2,AF3*$A$3,AF4*$A$4,AF5*$A$5,AF6*$A$6,AF7*$A$7,AF8*$A$8,AF9*$A$9)</f>
        <v/>
      </c>
      <c r="AG10">
        <f>SUM(AG1*$A$1,AG2*$A$2,AG3*$A$3,AG4*$A$4,AG5*$A$5,AG6*$A$6,AG7*$A$7,AG8*$A$8,AG9*$A$9)</f>
        <v/>
      </c>
      <c r="AH10">
        <f>SUM(AH1*$A$1,AH2*$A$2,AH3*$A$3,AH4*$A$4,AH5*$A$5,AH6*$A$6,AH7*$A$7,AH8*$A$8,AH9*$A$9)</f>
        <v/>
      </c>
      <c r="AJ10">
        <f>SUM(AJ1*$A$1,AJ2*$A$2,AJ3*$A$3,AJ4*$A$4,AJ5*$A$5,AJ6*$A$6,AJ7*$A$7,AJ8*$A$8,AJ9*$A$9)</f>
        <v/>
      </c>
      <c r="AK10">
        <f>SUM(AK1*$A$1,AK2*$A$2,AK3*$A$3,AK4*$A$4,AK5*$A$5,AK6*$A$6,AK7*$A$7,AK8*$A$8,AK9*$A$9)</f>
        <v/>
      </c>
      <c r="AL10">
        <f>SUM(AL1*$A$1,AL2*$A$2,AL3*$A$3,AL4*$A$4,AL5*$A$5,AL6*$A$6,AL7*$A$7,AL8*$A$8,AL9*$A$9)</f>
        <v/>
      </c>
      <c r="AM10">
        <f>SUM(AM1*$A$1,AM2*$A$2,AM3*$A$3,AM4*$A$4,AM5*$A$5,AM6*$A$6,AM7*$A$7,AM8*$A$8,AM9*$A$9)</f>
        <v/>
      </c>
      <c r="AN10">
        <f>SUM(AN1*$A$1,AN2*$A$2,AN3*$A$3,AN4*$A$4,AN5*$A$5,AN6*$A$6,AN7*$A$7,AN8*$A$8,AN9*$A$9)</f>
        <v/>
      </c>
      <c r="AO10">
        <f>SUM(AO1*$A$1,AO2*$A$2,AO3*$A$3,AO4*$A$4,AO5*$A$5,AO6*$A$6,AO7*$A$7,AO8*$A$8,AO9*$A$9)</f>
        <v/>
      </c>
      <c r="AP10">
        <f>SUM(AP1*$A$1,AP2*$A$2,AP3*$A$3,AP4*$A$4,AP5*$A$5,AP6*$A$6,AP7*$A$7,AP8*$A$8,AP9*$A$9)</f>
        <v/>
      </c>
      <c r="AQ10">
        <f>SUM(AQ1*$A$1,AQ2*$A$2,AQ3*$A$3,AQ4*$A$4,AQ5*$A$5,AQ6*$A$6,AQ7*$A$7,AQ8*$A$8,AQ9*$A$9)</f>
        <v/>
      </c>
      <c r="AR10">
        <f>SUM(AR1*$A$1,AR2*$A$2,AR3*$A$3,AR4*$A$4,AR5*$A$5,AR6*$A$6,AR7*$A$7,AR8*$A$8,AR9*$A$9)</f>
        <v/>
      </c>
      <c r="AT10">
        <f>SUM(AT1*$A$1,AT2*$A$2,AT3*$A$3,AT4*$A$4,AT5*$A$5,AT6*$A$6,AT7*$A$7,AT8*$A$8,AT9*$A$9)</f>
        <v/>
      </c>
      <c r="AU10">
        <f>SUM(AU1*$A$1,AU2*$A$2,AU3*$A$3,AU4*$A$4,AU5*$A$5,AU6*$A$6,AU7*$A$7,AU8*$A$8,AU9*$A$9)</f>
        <v/>
      </c>
      <c r="AV10">
        <f>SUM(AV1*$A$1,AV2*$A$2,AV3*$A$3,AV4*$A$4,AV5*$A$5,AV6*$A$6,AV7*$A$7,AV8*$A$8,AV9*$A$9)</f>
        <v/>
      </c>
      <c r="AW10">
        <f>SUM(AW1*$A$1,AW2*$A$2,AW3*$A$3,AW4*$A$4,AW5*$A$5,AW6*$A$6,AW7*$A$7,AW8*$A$8,AW9*$A$9)</f>
        <v/>
      </c>
      <c r="AX10">
        <f>SUM(AX1*$A$1,AX2*$A$2,AX3*$A$3,AX4*$A$4,AX5*$A$5,AX6*$A$6,AX7*$A$7,AX8*$A$8,AX9*$A$9)</f>
        <v/>
      </c>
      <c r="AY10">
        <f>SUM(AY1*$A$1,AY2*$A$2,AY3*$A$3,AY4*$A$4,AY5*$A$5,AY6*$A$6,AY7*$A$7,AY8*$A$8,AY9*$A$9)</f>
        <v/>
      </c>
      <c r="AZ10">
        <f>SUM(AZ1*$A$1,AZ2*$A$2,AZ3*$A$3,AZ4*$A$4,AZ5*$A$5,AZ6*$A$6,AZ7*$A$7,AZ8*$A$8,AZ9*$A$9)</f>
        <v/>
      </c>
      <c r="BA10">
        <f>SUM(BA1*$A$1,BA2*$A$2,BA3*$A$3,BA4*$A$4,BA5*$A$5,BA6*$A$6,BA7*$A$7,BA8*$A$8,BA9*$A$9)</f>
        <v/>
      </c>
      <c r="BB10">
        <f>SUM(BB1*$A$1,BB2*$A$2,BB3*$A$3,BB4*$A$4,BB5*$A$5,BB6*$A$6,BB7*$A$7,BB8*$A$8,BB9*$A$9)</f>
        <v/>
      </c>
    </row>
    <row r="11"/>
    <row r="12">
      <c r="F12">
        <f>_xlfn.HYPGEOM.DIST($A1,$C$2,'Benchmarks by Card Role'!D$2,99,FALSE)</f>
        <v/>
      </c>
      <c r="G12">
        <f>_xlfn.HYPGEOM.DIST($A1,$C$2,'Benchmarks by Card Role'!E$2,99,FALSE)</f>
        <v/>
      </c>
      <c r="H12">
        <f>_xlfn.HYPGEOM.DIST($A1,$C$2,'Benchmarks by Card Role'!F$2,99,FALSE)</f>
        <v/>
      </c>
      <c r="I12">
        <f>_xlfn.HYPGEOM.DIST($A1,$C$2,'Benchmarks by Card Role'!G$2,99,FALSE)</f>
        <v/>
      </c>
      <c r="J12">
        <f>_xlfn.HYPGEOM.DIST($A1,$C$2,'Benchmarks by Card Role'!H$2,99,FALSE)</f>
        <v/>
      </c>
      <c r="K12">
        <f>_xlfn.HYPGEOM.DIST($A1,$C$2,'Benchmarks by Card Role'!I$2,99,FALSE)</f>
        <v/>
      </c>
      <c r="L12">
        <f>_xlfn.HYPGEOM.DIST($A1,$C$2,'Benchmarks by Card Role'!J$2,99,FALSE)</f>
        <v/>
      </c>
      <c r="M12">
        <f>_xlfn.HYPGEOM.DIST($A1,$C$2,'Benchmarks by Card Role'!K$2,99,FALSE)</f>
        <v/>
      </c>
      <c r="N12">
        <f>_xlfn.HYPGEOM.DIST($A1,$C$2,'Benchmarks by Card Role'!L$2,99,FALSE)</f>
        <v/>
      </c>
      <c r="P12">
        <f>_xlfn.HYPGEOM.DIST($A1,$C$2,'Benchmarks by Card Role'!D$12,99,FALSE)</f>
        <v/>
      </c>
      <c r="Q12">
        <f>_xlfn.HYPGEOM.DIST($A1,$C$2,'Benchmarks by Card Role'!E$12,99,FALSE)</f>
        <v/>
      </c>
      <c r="R12">
        <f>_xlfn.HYPGEOM.DIST($A1,$C$2,'Benchmarks by Card Role'!F$12,99,FALSE)</f>
        <v/>
      </c>
      <c r="S12">
        <f>_xlfn.HYPGEOM.DIST($A1,$C$2,'Benchmarks by Card Role'!G$12,99,FALSE)</f>
        <v/>
      </c>
      <c r="T12">
        <f>_xlfn.HYPGEOM.DIST($A1,$C$2,'Benchmarks by Card Role'!H$12,99,FALSE)</f>
        <v/>
      </c>
      <c r="U12">
        <f>_xlfn.HYPGEOM.DIST($A1,$C$2,'Benchmarks by Card Role'!I$12,99,FALSE)</f>
        <v/>
      </c>
      <c r="V12">
        <f>_xlfn.HYPGEOM.DIST($A1,$C$2,'Benchmarks by Card Role'!J$12,99,FALSE)</f>
        <v/>
      </c>
      <c r="W12">
        <f>_xlfn.HYPGEOM.DIST($A1,$C$2,'Benchmarks by Card Role'!K$12,99,FALSE)</f>
        <v/>
      </c>
      <c r="X12">
        <f>_xlfn.HYPGEOM.DIST($A1,$C$2,'Benchmarks by Card Role'!L$12,99,FALSE)</f>
        <v/>
      </c>
      <c r="Z12">
        <f>_xlfn.HYPGEOM.DIST($A1,$C$2,'Benchmarks by Card Role'!D$22,99,FALSE)</f>
        <v/>
      </c>
      <c r="AA12">
        <f>_xlfn.HYPGEOM.DIST($A1,$C$2,'Benchmarks by Card Role'!E$22,99,FALSE)</f>
        <v/>
      </c>
      <c r="AB12">
        <f>_xlfn.HYPGEOM.DIST($A1,$C$2,'Benchmarks by Card Role'!F$22,99,FALSE)</f>
        <v/>
      </c>
      <c r="AC12">
        <f>_xlfn.HYPGEOM.DIST($A1,$C$2,'Benchmarks by Card Role'!G$22,99,FALSE)</f>
        <v/>
      </c>
      <c r="AD12">
        <f>_xlfn.HYPGEOM.DIST($A1,$C$2,'Benchmarks by Card Role'!H$22,99,FALSE)</f>
        <v/>
      </c>
      <c r="AE12">
        <f>_xlfn.HYPGEOM.DIST($A1,$C$2,'Benchmarks by Card Role'!I$22,99,FALSE)</f>
        <v/>
      </c>
      <c r="AF12">
        <f>_xlfn.HYPGEOM.DIST($A1,$C$2,'Benchmarks by Card Role'!J$22,99,FALSE)</f>
        <v/>
      </c>
      <c r="AG12">
        <f>_xlfn.HYPGEOM.DIST($A1,$C$2,'Benchmarks by Card Role'!K$22,99,FALSE)</f>
        <v/>
      </c>
      <c r="AH12">
        <f>_xlfn.HYPGEOM.DIST($A1,$C$2,'Benchmarks by Card Role'!L$22,99,FALSE)</f>
        <v/>
      </c>
      <c r="AJ12">
        <f>_xlfn.HYPGEOM.DIST($A1,$C$2,'Benchmarks by Card Role'!D$32,99,FALSE)</f>
        <v/>
      </c>
      <c r="AK12">
        <f>_xlfn.HYPGEOM.DIST($A1,$C$2,'Benchmarks by Card Role'!E$32,99,FALSE)</f>
        <v/>
      </c>
      <c r="AL12">
        <f>_xlfn.HYPGEOM.DIST($A1,$C$2,'Benchmarks by Card Role'!F$32,99,FALSE)</f>
        <v/>
      </c>
      <c r="AM12">
        <f>_xlfn.HYPGEOM.DIST($A1,$C$2,'Benchmarks by Card Role'!G$32,99,FALSE)</f>
        <v/>
      </c>
      <c r="AN12">
        <f>_xlfn.HYPGEOM.DIST($A1,$C$2,'Benchmarks by Card Role'!H$32,99,FALSE)</f>
        <v/>
      </c>
      <c r="AO12">
        <f>_xlfn.HYPGEOM.DIST($A1,$C$2,'Benchmarks by Card Role'!I$32,99,FALSE)</f>
        <v/>
      </c>
      <c r="AP12">
        <f>_xlfn.HYPGEOM.DIST($A1,$C$2,'Benchmarks by Card Role'!J$32,99,FALSE)</f>
        <v/>
      </c>
      <c r="AQ12">
        <f>_xlfn.HYPGEOM.DIST($A1,$C$2,'Benchmarks by Card Role'!K$32,99,FALSE)</f>
        <v/>
      </c>
      <c r="AR12">
        <f>_xlfn.HYPGEOM.DIST($A1,$C$2,'Benchmarks by Card Role'!L$32,99,FALSE)</f>
        <v/>
      </c>
      <c r="AT12">
        <f>_xlfn.HYPGEOM.DIST($A1,$C$2,'Benchmarks by Card Role'!D$42,99,FALSE)</f>
        <v/>
      </c>
      <c r="AU12">
        <f>_xlfn.HYPGEOM.DIST($A1,$C$2,'Benchmarks by Card Role'!E$42,99,FALSE)</f>
        <v/>
      </c>
      <c r="AV12">
        <f>_xlfn.HYPGEOM.DIST($A1,$C$2,'Benchmarks by Card Role'!F$42,99,FALSE)</f>
        <v/>
      </c>
      <c r="AW12">
        <f>_xlfn.HYPGEOM.DIST($A1,$C$2,'Benchmarks by Card Role'!G$42,99,FALSE)</f>
        <v/>
      </c>
      <c r="AX12">
        <f>_xlfn.HYPGEOM.DIST($A1,$C$2,'Benchmarks by Card Role'!H$42,99,FALSE)</f>
        <v/>
      </c>
      <c r="AY12">
        <f>_xlfn.HYPGEOM.DIST($A1,$C$2,'Benchmarks by Card Role'!I$42,99,FALSE)</f>
        <v/>
      </c>
      <c r="AZ12">
        <f>_xlfn.HYPGEOM.DIST($A1,$C$2,'Benchmarks by Card Role'!J$42,99,FALSE)</f>
        <v/>
      </c>
      <c r="BA12">
        <f>_xlfn.HYPGEOM.DIST($A1,$C$2,'Benchmarks by Card Role'!K$42,99,FALSE)</f>
        <v/>
      </c>
      <c r="BB12">
        <f>_xlfn.HYPGEOM.DIST($A1,$C$2,'Benchmarks by Card Role'!L$42,99,FALSE)</f>
        <v/>
      </c>
    </row>
    <row r="13">
      <c r="F13">
        <f>_xlfn.HYPGEOM.DIST($A2,$C$2,'Benchmarks by Card Role'!D$2,99,FALSE)</f>
        <v/>
      </c>
      <c r="G13">
        <f>_xlfn.HYPGEOM.DIST($A2,$C$2,'Benchmarks by Card Role'!E$2,99,FALSE)</f>
        <v/>
      </c>
      <c r="H13">
        <f>_xlfn.HYPGEOM.DIST($A2,$C$2,'Benchmarks by Card Role'!F$2,99,FALSE)</f>
        <v/>
      </c>
      <c r="I13">
        <f>_xlfn.HYPGEOM.DIST($A2,$C$2,'Benchmarks by Card Role'!G$2,99,FALSE)</f>
        <v/>
      </c>
      <c r="J13">
        <f>_xlfn.HYPGEOM.DIST($A2,$C$2,'Benchmarks by Card Role'!H$2,99,FALSE)</f>
        <v/>
      </c>
      <c r="K13">
        <f>_xlfn.HYPGEOM.DIST($A2,$C$2,'Benchmarks by Card Role'!I$2,99,FALSE)</f>
        <v/>
      </c>
      <c r="L13">
        <f>_xlfn.HYPGEOM.DIST($A2,$C$2,'Benchmarks by Card Role'!J$2,99,FALSE)</f>
        <v/>
      </c>
      <c r="M13">
        <f>_xlfn.HYPGEOM.DIST($A2,$C$2,'Benchmarks by Card Role'!K$2,99,FALSE)</f>
        <v/>
      </c>
      <c r="N13">
        <f>_xlfn.HYPGEOM.DIST($A2,$C$2,'Benchmarks by Card Role'!L$2,99,FALSE)</f>
        <v/>
      </c>
      <c r="P13">
        <f>_xlfn.HYPGEOM.DIST($A2,$C$2,'Benchmarks by Card Role'!D$12,99,FALSE)</f>
        <v/>
      </c>
      <c r="Q13">
        <f>_xlfn.HYPGEOM.DIST($A2,$C$2,'Benchmarks by Card Role'!E$12,99,FALSE)</f>
        <v/>
      </c>
      <c r="R13">
        <f>_xlfn.HYPGEOM.DIST($A2,$C$2,'Benchmarks by Card Role'!F$12,99,FALSE)</f>
        <v/>
      </c>
      <c r="S13">
        <f>_xlfn.HYPGEOM.DIST($A2,$C$2,'Benchmarks by Card Role'!G$12,99,FALSE)</f>
        <v/>
      </c>
      <c r="T13">
        <f>_xlfn.HYPGEOM.DIST($A2,$C$2,'Benchmarks by Card Role'!H$12,99,FALSE)</f>
        <v/>
      </c>
      <c r="U13">
        <f>_xlfn.HYPGEOM.DIST($A2,$C$2,'Benchmarks by Card Role'!I$12,99,FALSE)</f>
        <v/>
      </c>
      <c r="V13">
        <f>_xlfn.HYPGEOM.DIST($A2,$C$2,'Benchmarks by Card Role'!J$12,99,FALSE)</f>
        <v/>
      </c>
      <c r="W13">
        <f>_xlfn.HYPGEOM.DIST($A2,$C$2,'Benchmarks by Card Role'!K$12,99,FALSE)</f>
        <v/>
      </c>
      <c r="X13">
        <f>_xlfn.HYPGEOM.DIST($A2,$C$2,'Benchmarks by Card Role'!L$12,99,FALSE)</f>
        <v/>
      </c>
      <c r="Z13">
        <f>_xlfn.HYPGEOM.DIST($A2,$C$2,'Benchmarks by Card Role'!D$22,99,FALSE)</f>
        <v/>
      </c>
      <c r="AA13">
        <f>_xlfn.HYPGEOM.DIST($A2,$C$2,'Benchmarks by Card Role'!E$22,99,FALSE)</f>
        <v/>
      </c>
      <c r="AB13">
        <f>_xlfn.HYPGEOM.DIST($A2,$C$2,'Benchmarks by Card Role'!F$22,99,FALSE)</f>
        <v/>
      </c>
      <c r="AC13">
        <f>_xlfn.HYPGEOM.DIST($A2,$C$2,'Benchmarks by Card Role'!G$22,99,FALSE)</f>
        <v/>
      </c>
      <c r="AD13">
        <f>_xlfn.HYPGEOM.DIST($A2,$C$2,'Benchmarks by Card Role'!H$22,99,FALSE)</f>
        <v/>
      </c>
      <c r="AE13">
        <f>_xlfn.HYPGEOM.DIST($A2,$C$2,'Benchmarks by Card Role'!I$22,99,FALSE)</f>
        <v/>
      </c>
      <c r="AF13">
        <f>_xlfn.HYPGEOM.DIST($A2,$C$2,'Benchmarks by Card Role'!J$22,99,FALSE)</f>
        <v/>
      </c>
      <c r="AG13">
        <f>_xlfn.HYPGEOM.DIST($A2,$C$2,'Benchmarks by Card Role'!K$22,99,FALSE)</f>
        <v/>
      </c>
      <c r="AH13">
        <f>_xlfn.HYPGEOM.DIST($A2,$C$2,'Benchmarks by Card Role'!L$22,99,FALSE)</f>
        <v/>
      </c>
      <c r="AJ13">
        <f>_xlfn.HYPGEOM.DIST($A2,$C$2,'Benchmarks by Card Role'!D$32,99,FALSE)</f>
        <v/>
      </c>
      <c r="AK13">
        <f>_xlfn.HYPGEOM.DIST($A2,$C$2,'Benchmarks by Card Role'!E$32,99,FALSE)</f>
        <v/>
      </c>
      <c r="AL13">
        <f>_xlfn.HYPGEOM.DIST($A2,$C$2,'Benchmarks by Card Role'!F$32,99,FALSE)</f>
        <v/>
      </c>
      <c r="AM13">
        <f>_xlfn.HYPGEOM.DIST($A2,$C$2,'Benchmarks by Card Role'!G$32,99,FALSE)</f>
        <v/>
      </c>
      <c r="AN13">
        <f>_xlfn.HYPGEOM.DIST($A2,$C$2,'Benchmarks by Card Role'!H$32,99,FALSE)</f>
        <v/>
      </c>
      <c r="AO13">
        <f>_xlfn.HYPGEOM.DIST($A2,$C$2,'Benchmarks by Card Role'!I$32,99,FALSE)</f>
        <v/>
      </c>
      <c r="AP13">
        <f>_xlfn.HYPGEOM.DIST($A2,$C$2,'Benchmarks by Card Role'!J$32,99,FALSE)</f>
        <v/>
      </c>
      <c r="AQ13">
        <f>_xlfn.HYPGEOM.DIST($A2,$C$2,'Benchmarks by Card Role'!K$32,99,FALSE)</f>
        <v/>
      </c>
      <c r="AR13">
        <f>_xlfn.HYPGEOM.DIST($A2,$C$2,'Benchmarks by Card Role'!L$32,99,FALSE)</f>
        <v/>
      </c>
      <c r="AT13">
        <f>_xlfn.HYPGEOM.DIST($A2,$C$2,'Benchmarks by Card Role'!D$42,99,FALSE)</f>
        <v/>
      </c>
      <c r="AU13">
        <f>_xlfn.HYPGEOM.DIST($A2,$C$2,'Benchmarks by Card Role'!E$42,99,FALSE)</f>
        <v/>
      </c>
      <c r="AV13">
        <f>_xlfn.HYPGEOM.DIST($A2,$C$2,'Benchmarks by Card Role'!F$42,99,FALSE)</f>
        <v/>
      </c>
      <c r="AW13">
        <f>_xlfn.HYPGEOM.DIST($A2,$C$2,'Benchmarks by Card Role'!G$42,99,FALSE)</f>
        <v/>
      </c>
      <c r="AX13">
        <f>_xlfn.HYPGEOM.DIST($A2,$C$2,'Benchmarks by Card Role'!H$42,99,FALSE)</f>
        <v/>
      </c>
      <c r="AY13">
        <f>_xlfn.HYPGEOM.DIST($A2,$C$2,'Benchmarks by Card Role'!I$42,99,FALSE)</f>
        <v/>
      </c>
      <c r="AZ13">
        <f>_xlfn.HYPGEOM.DIST($A2,$C$2,'Benchmarks by Card Role'!J$42,99,FALSE)</f>
        <v/>
      </c>
      <c r="BA13">
        <f>_xlfn.HYPGEOM.DIST($A2,$C$2,'Benchmarks by Card Role'!K$42,99,FALSE)</f>
        <v/>
      </c>
      <c r="BB13">
        <f>_xlfn.HYPGEOM.DIST($A2,$C$2,'Benchmarks by Card Role'!L$42,99,FALSE)</f>
        <v/>
      </c>
    </row>
    <row r="14">
      <c r="F14">
        <f>_xlfn.HYPGEOM.DIST($A3,$C$2,'Benchmarks by Card Role'!D$2,99,FALSE)</f>
        <v/>
      </c>
      <c r="G14">
        <f>_xlfn.HYPGEOM.DIST($A3,$C$2,'Benchmarks by Card Role'!E$2,99,FALSE)</f>
        <v/>
      </c>
      <c r="H14">
        <f>_xlfn.HYPGEOM.DIST($A3,$C$2,'Benchmarks by Card Role'!F$2,99,FALSE)</f>
        <v/>
      </c>
      <c r="I14">
        <f>_xlfn.HYPGEOM.DIST($A3,$C$2,'Benchmarks by Card Role'!G$2,99,FALSE)</f>
        <v/>
      </c>
      <c r="J14">
        <f>_xlfn.HYPGEOM.DIST($A3,$C$2,'Benchmarks by Card Role'!H$2,99,FALSE)</f>
        <v/>
      </c>
      <c r="K14">
        <f>_xlfn.HYPGEOM.DIST($A3,$C$2,'Benchmarks by Card Role'!I$2,99,FALSE)</f>
        <v/>
      </c>
      <c r="L14">
        <f>_xlfn.HYPGEOM.DIST($A3,$C$2,'Benchmarks by Card Role'!J$2,99,FALSE)</f>
        <v/>
      </c>
      <c r="M14">
        <f>_xlfn.HYPGEOM.DIST($A3,$C$2,'Benchmarks by Card Role'!K$2,99,FALSE)</f>
        <v/>
      </c>
      <c r="N14">
        <f>_xlfn.HYPGEOM.DIST($A3,$C$2,'Benchmarks by Card Role'!L$2,99,FALSE)</f>
        <v/>
      </c>
      <c r="P14">
        <f>_xlfn.HYPGEOM.DIST($A3,$C$2,'Benchmarks by Card Role'!D$12,99,FALSE)</f>
        <v/>
      </c>
      <c r="Q14">
        <f>_xlfn.HYPGEOM.DIST($A3,$C$2,'Benchmarks by Card Role'!E$12,99,FALSE)</f>
        <v/>
      </c>
      <c r="R14">
        <f>_xlfn.HYPGEOM.DIST($A3,$C$2,'Benchmarks by Card Role'!F$12,99,FALSE)</f>
        <v/>
      </c>
      <c r="S14">
        <f>_xlfn.HYPGEOM.DIST($A3,$C$2,'Benchmarks by Card Role'!G$12,99,FALSE)</f>
        <v/>
      </c>
      <c r="T14">
        <f>_xlfn.HYPGEOM.DIST($A3,$C$2,'Benchmarks by Card Role'!H$12,99,FALSE)</f>
        <v/>
      </c>
      <c r="U14">
        <f>_xlfn.HYPGEOM.DIST($A3,$C$2,'Benchmarks by Card Role'!I$12,99,FALSE)</f>
        <v/>
      </c>
      <c r="V14">
        <f>_xlfn.HYPGEOM.DIST($A3,$C$2,'Benchmarks by Card Role'!J$12,99,FALSE)</f>
        <v/>
      </c>
      <c r="W14">
        <f>_xlfn.HYPGEOM.DIST($A3,$C$2,'Benchmarks by Card Role'!K$12,99,FALSE)</f>
        <v/>
      </c>
      <c r="X14">
        <f>_xlfn.HYPGEOM.DIST($A3,$C$2,'Benchmarks by Card Role'!L$12,99,FALSE)</f>
        <v/>
      </c>
      <c r="Z14">
        <f>_xlfn.HYPGEOM.DIST($A3,$C$2,'Benchmarks by Card Role'!D$22,99,FALSE)</f>
        <v/>
      </c>
      <c r="AA14">
        <f>_xlfn.HYPGEOM.DIST($A3,$C$2,'Benchmarks by Card Role'!E$22,99,FALSE)</f>
        <v/>
      </c>
      <c r="AB14">
        <f>_xlfn.HYPGEOM.DIST($A3,$C$2,'Benchmarks by Card Role'!F$22,99,FALSE)</f>
        <v/>
      </c>
      <c r="AC14">
        <f>_xlfn.HYPGEOM.DIST($A3,$C$2,'Benchmarks by Card Role'!G$22,99,FALSE)</f>
        <v/>
      </c>
      <c r="AD14">
        <f>_xlfn.HYPGEOM.DIST($A3,$C$2,'Benchmarks by Card Role'!H$22,99,FALSE)</f>
        <v/>
      </c>
      <c r="AE14">
        <f>_xlfn.HYPGEOM.DIST($A3,$C$2,'Benchmarks by Card Role'!I$22,99,FALSE)</f>
        <v/>
      </c>
      <c r="AF14">
        <f>_xlfn.HYPGEOM.DIST($A3,$C$2,'Benchmarks by Card Role'!J$22,99,FALSE)</f>
        <v/>
      </c>
      <c r="AG14">
        <f>_xlfn.HYPGEOM.DIST($A3,$C$2,'Benchmarks by Card Role'!K$22,99,FALSE)</f>
        <v/>
      </c>
      <c r="AH14">
        <f>_xlfn.HYPGEOM.DIST($A3,$C$2,'Benchmarks by Card Role'!L$22,99,FALSE)</f>
        <v/>
      </c>
      <c r="AJ14">
        <f>_xlfn.HYPGEOM.DIST($A3,$C$2,'Benchmarks by Card Role'!D$32,99,FALSE)</f>
        <v/>
      </c>
      <c r="AK14">
        <f>_xlfn.HYPGEOM.DIST($A3,$C$2,'Benchmarks by Card Role'!E$32,99,FALSE)</f>
        <v/>
      </c>
      <c r="AL14">
        <f>_xlfn.HYPGEOM.DIST($A3,$C$2,'Benchmarks by Card Role'!F$32,99,FALSE)</f>
        <v/>
      </c>
      <c r="AM14">
        <f>_xlfn.HYPGEOM.DIST($A3,$C$2,'Benchmarks by Card Role'!G$32,99,FALSE)</f>
        <v/>
      </c>
      <c r="AN14">
        <f>_xlfn.HYPGEOM.DIST($A3,$C$2,'Benchmarks by Card Role'!H$32,99,FALSE)</f>
        <v/>
      </c>
      <c r="AO14">
        <f>_xlfn.HYPGEOM.DIST($A3,$C$2,'Benchmarks by Card Role'!I$32,99,FALSE)</f>
        <v/>
      </c>
      <c r="AP14">
        <f>_xlfn.HYPGEOM.DIST($A3,$C$2,'Benchmarks by Card Role'!J$32,99,FALSE)</f>
        <v/>
      </c>
      <c r="AQ14">
        <f>_xlfn.HYPGEOM.DIST($A3,$C$2,'Benchmarks by Card Role'!K$32,99,FALSE)</f>
        <v/>
      </c>
      <c r="AR14">
        <f>_xlfn.HYPGEOM.DIST($A3,$C$2,'Benchmarks by Card Role'!L$32,99,FALSE)</f>
        <v/>
      </c>
      <c r="AT14">
        <f>_xlfn.HYPGEOM.DIST($A3,$C$2,'Benchmarks by Card Role'!D$42,99,FALSE)</f>
        <v/>
      </c>
      <c r="AU14">
        <f>_xlfn.HYPGEOM.DIST($A3,$C$2,'Benchmarks by Card Role'!E$42,99,FALSE)</f>
        <v/>
      </c>
      <c r="AV14">
        <f>_xlfn.HYPGEOM.DIST($A3,$C$2,'Benchmarks by Card Role'!F$42,99,FALSE)</f>
        <v/>
      </c>
      <c r="AW14">
        <f>_xlfn.HYPGEOM.DIST($A3,$C$2,'Benchmarks by Card Role'!G$42,99,FALSE)</f>
        <v/>
      </c>
      <c r="AX14">
        <f>_xlfn.HYPGEOM.DIST($A3,$C$2,'Benchmarks by Card Role'!H$42,99,FALSE)</f>
        <v/>
      </c>
      <c r="AY14">
        <f>_xlfn.HYPGEOM.DIST($A3,$C$2,'Benchmarks by Card Role'!I$42,99,FALSE)</f>
        <v/>
      </c>
      <c r="AZ14">
        <f>_xlfn.HYPGEOM.DIST($A3,$C$2,'Benchmarks by Card Role'!J$42,99,FALSE)</f>
        <v/>
      </c>
      <c r="BA14">
        <f>_xlfn.HYPGEOM.DIST($A3,$C$2,'Benchmarks by Card Role'!K$42,99,FALSE)</f>
        <v/>
      </c>
      <c r="BB14">
        <f>_xlfn.HYPGEOM.DIST($A3,$C$2,'Benchmarks by Card Role'!L$42,99,FALSE)</f>
        <v/>
      </c>
    </row>
    <row r="15">
      <c r="F15">
        <f>_xlfn.HYPGEOM.DIST($A4,$C$2,'Benchmarks by Card Role'!D$2,99,FALSE)</f>
        <v/>
      </c>
      <c r="G15">
        <f>_xlfn.HYPGEOM.DIST($A4,$C$2,'Benchmarks by Card Role'!E$2,99,FALSE)</f>
        <v/>
      </c>
      <c r="H15">
        <f>_xlfn.HYPGEOM.DIST($A4,$C$2,'Benchmarks by Card Role'!F$2,99,FALSE)</f>
        <v/>
      </c>
      <c r="I15">
        <f>_xlfn.HYPGEOM.DIST($A4,$C$2,'Benchmarks by Card Role'!G$2,99,FALSE)</f>
        <v/>
      </c>
      <c r="J15">
        <f>_xlfn.HYPGEOM.DIST($A4,$C$2,'Benchmarks by Card Role'!H$2,99,FALSE)</f>
        <v/>
      </c>
      <c r="K15">
        <f>_xlfn.HYPGEOM.DIST($A4,$C$2,'Benchmarks by Card Role'!I$2,99,FALSE)</f>
        <v/>
      </c>
      <c r="L15">
        <f>_xlfn.HYPGEOM.DIST($A4,$C$2,'Benchmarks by Card Role'!J$2,99,FALSE)</f>
        <v/>
      </c>
      <c r="M15">
        <f>_xlfn.HYPGEOM.DIST($A4,$C$2,'Benchmarks by Card Role'!K$2,99,FALSE)</f>
        <v/>
      </c>
      <c r="N15">
        <f>_xlfn.HYPGEOM.DIST($A4,$C$2,'Benchmarks by Card Role'!L$2,99,FALSE)</f>
        <v/>
      </c>
      <c r="P15">
        <f>_xlfn.HYPGEOM.DIST($A4,$C$2,'Benchmarks by Card Role'!D$12,99,FALSE)</f>
        <v/>
      </c>
      <c r="Q15">
        <f>_xlfn.HYPGEOM.DIST($A4,$C$2,'Benchmarks by Card Role'!E$12,99,FALSE)</f>
        <v/>
      </c>
      <c r="R15">
        <f>_xlfn.HYPGEOM.DIST($A4,$C$2,'Benchmarks by Card Role'!F$12,99,FALSE)</f>
        <v/>
      </c>
      <c r="S15">
        <f>_xlfn.HYPGEOM.DIST($A4,$C$2,'Benchmarks by Card Role'!G$12,99,FALSE)</f>
        <v/>
      </c>
      <c r="T15">
        <f>_xlfn.HYPGEOM.DIST($A4,$C$2,'Benchmarks by Card Role'!H$12,99,FALSE)</f>
        <v/>
      </c>
      <c r="U15">
        <f>_xlfn.HYPGEOM.DIST($A4,$C$2,'Benchmarks by Card Role'!I$12,99,FALSE)</f>
        <v/>
      </c>
      <c r="V15">
        <f>_xlfn.HYPGEOM.DIST($A4,$C$2,'Benchmarks by Card Role'!J$12,99,FALSE)</f>
        <v/>
      </c>
      <c r="W15">
        <f>_xlfn.HYPGEOM.DIST($A4,$C$2,'Benchmarks by Card Role'!K$12,99,FALSE)</f>
        <v/>
      </c>
      <c r="X15">
        <f>_xlfn.HYPGEOM.DIST($A4,$C$2,'Benchmarks by Card Role'!L$12,99,FALSE)</f>
        <v/>
      </c>
      <c r="Z15">
        <f>_xlfn.HYPGEOM.DIST($A4,$C$2,'Benchmarks by Card Role'!D$22,99,FALSE)</f>
        <v/>
      </c>
      <c r="AA15">
        <f>_xlfn.HYPGEOM.DIST($A4,$C$2,'Benchmarks by Card Role'!E$22,99,FALSE)</f>
        <v/>
      </c>
      <c r="AB15">
        <f>_xlfn.HYPGEOM.DIST($A4,$C$2,'Benchmarks by Card Role'!F$22,99,FALSE)</f>
        <v/>
      </c>
      <c r="AC15">
        <f>_xlfn.HYPGEOM.DIST($A4,$C$2,'Benchmarks by Card Role'!G$22,99,FALSE)</f>
        <v/>
      </c>
      <c r="AD15">
        <f>_xlfn.HYPGEOM.DIST($A4,$C$2,'Benchmarks by Card Role'!H$22,99,FALSE)</f>
        <v/>
      </c>
      <c r="AE15">
        <f>_xlfn.HYPGEOM.DIST($A4,$C$2,'Benchmarks by Card Role'!I$22,99,FALSE)</f>
        <v/>
      </c>
      <c r="AF15">
        <f>_xlfn.HYPGEOM.DIST($A4,$C$2,'Benchmarks by Card Role'!J$22,99,FALSE)</f>
        <v/>
      </c>
      <c r="AG15">
        <f>_xlfn.HYPGEOM.DIST($A4,$C$2,'Benchmarks by Card Role'!K$22,99,FALSE)</f>
        <v/>
      </c>
      <c r="AH15">
        <f>_xlfn.HYPGEOM.DIST($A4,$C$2,'Benchmarks by Card Role'!L$22,99,FALSE)</f>
        <v/>
      </c>
      <c r="AJ15">
        <f>_xlfn.HYPGEOM.DIST($A4,$C$2,'Benchmarks by Card Role'!D$32,99,FALSE)</f>
        <v/>
      </c>
      <c r="AK15">
        <f>_xlfn.HYPGEOM.DIST($A4,$C$2,'Benchmarks by Card Role'!E$32,99,FALSE)</f>
        <v/>
      </c>
      <c r="AL15">
        <f>_xlfn.HYPGEOM.DIST($A4,$C$2,'Benchmarks by Card Role'!F$32,99,FALSE)</f>
        <v/>
      </c>
      <c r="AM15">
        <f>_xlfn.HYPGEOM.DIST($A4,$C$2,'Benchmarks by Card Role'!G$32,99,FALSE)</f>
        <v/>
      </c>
      <c r="AN15">
        <f>_xlfn.HYPGEOM.DIST($A4,$C$2,'Benchmarks by Card Role'!H$32,99,FALSE)</f>
        <v/>
      </c>
      <c r="AO15">
        <f>_xlfn.HYPGEOM.DIST($A4,$C$2,'Benchmarks by Card Role'!I$32,99,FALSE)</f>
        <v/>
      </c>
      <c r="AP15">
        <f>_xlfn.HYPGEOM.DIST($A4,$C$2,'Benchmarks by Card Role'!J$32,99,FALSE)</f>
        <v/>
      </c>
      <c r="AQ15">
        <f>_xlfn.HYPGEOM.DIST($A4,$C$2,'Benchmarks by Card Role'!K$32,99,FALSE)</f>
        <v/>
      </c>
      <c r="AR15">
        <f>_xlfn.HYPGEOM.DIST($A4,$C$2,'Benchmarks by Card Role'!L$32,99,FALSE)</f>
        <v/>
      </c>
      <c r="AT15">
        <f>_xlfn.HYPGEOM.DIST($A4,$C$2,'Benchmarks by Card Role'!D$42,99,FALSE)</f>
        <v/>
      </c>
      <c r="AU15">
        <f>_xlfn.HYPGEOM.DIST($A4,$C$2,'Benchmarks by Card Role'!E$42,99,FALSE)</f>
        <v/>
      </c>
      <c r="AV15">
        <f>_xlfn.HYPGEOM.DIST($A4,$C$2,'Benchmarks by Card Role'!F$42,99,FALSE)</f>
        <v/>
      </c>
      <c r="AW15">
        <f>_xlfn.HYPGEOM.DIST($A4,$C$2,'Benchmarks by Card Role'!G$42,99,FALSE)</f>
        <v/>
      </c>
      <c r="AX15">
        <f>_xlfn.HYPGEOM.DIST($A4,$C$2,'Benchmarks by Card Role'!H$42,99,FALSE)</f>
        <v/>
      </c>
      <c r="AY15">
        <f>_xlfn.HYPGEOM.DIST($A4,$C$2,'Benchmarks by Card Role'!I$42,99,FALSE)</f>
        <v/>
      </c>
      <c r="AZ15">
        <f>_xlfn.HYPGEOM.DIST($A4,$C$2,'Benchmarks by Card Role'!J$42,99,FALSE)</f>
        <v/>
      </c>
      <c r="BA15">
        <f>_xlfn.HYPGEOM.DIST($A4,$C$2,'Benchmarks by Card Role'!K$42,99,FALSE)</f>
        <v/>
      </c>
      <c r="BB15">
        <f>_xlfn.HYPGEOM.DIST($A4,$C$2,'Benchmarks by Card Role'!L$42,99,FALSE)</f>
        <v/>
      </c>
    </row>
    <row r="16">
      <c r="F16">
        <f>_xlfn.HYPGEOM.DIST($A5,$C$2,'Benchmarks by Card Role'!D$2,99,FALSE)</f>
        <v/>
      </c>
      <c r="G16">
        <f>_xlfn.HYPGEOM.DIST($A5,$C$2,'Benchmarks by Card Role'!E$2,99,FALSE)</f>
        <v/>
      </c>
      <c r="H16">
        <f>_xlfn.HYPGEOM.DIST($A5,$C$2,'Benchmarks by Card Role'!F$2,99,FALSE)</f>
        <v/>
      </c>
      <c r="I16">
        <f>_xlfn.HYPGEOM.DIST($A5,$C$2,'Benchmarks by Card Role'!G$2,99,FALSE)</f>
        <v/>
      </c>
      <c r="J16">
        <f>_xlfn.HYPGEOM.DIST($A5,$C$2,'Benchmarks by Card Role'!H$2,99,FALSE)</f>
        <v/>
      </c>
      <c r="K16">
        <f>_xlfn.HYPGEOM.DIST($A5,$C$2,'Benchmarks by Card Role'!I$2,99,FALSE)</f>
        <v/>
      </c>
      <c r="L16">
        <f>_xlfn.HYPGEOM.DIST($A5,$C$2,'Benchmarks by Card Role'!J$2,99,FALSE)</f>
        <v/>
      </c>
      <c r="M16">
        <f>_xlfn.HYPGEOM.DIST($A5,$C$2,'Benchmarks by Card Role'!K$2,99,FALSE)</f>
        <v/>
      </c>
      <c r="N16">
        <f>_xlfn.HYPGEOM.DIST($A5,$C$2,'Benchmarks by Card Role'!L$2,99,FALSE)</f>
        <v/>
      </c>
      <c r="P16">
        <f>_xlfn.HYPGEOM.DIST($A5,$C$2,'Benchmarks by Card Role'!D$12,99,FALSE)</f>
        <v/>
      </c>
      <c r="Q16">
        <f>_xlfn.HYPGEOM.DIST($A5,$C$2,'Benchmarks by Card Role'!E$12,99,FALSE)</f>
        <v/>
      </c>
      <c r="R16">
        <f>_xlfn.HYPGEOM.DIST($A5,$C$2,'Benchmarks by Card Role'!F$12,99,FALSE)</f>
        <v/>
      </c>
      <c r="S16">
        <f>_xlfn.HYPGEOM.DIST($A5,$C$2,'Benchmarks by Card Role'!G$12,99,FALSE)</f>
        <v/>
      </c>
      <c r="T16">
        <f>_xlfn.HYPGEOM.DIST($A5,$C$2,'Benchmarks by Card Role'!H$12,99,FALSE)</f>
        <v/>
      </c>
      <c r="U16">
        <f>_xlfn.HYPGEOM.DIST($A5,$C$2,'Benchmarks by Card Role'!I$12,99,FALSE)</f>
        <v/>
      </c>
      <c r="V16">
        <f>_xlfn.HYPGEOM.DIST($A5,$C$2,'Benchmarks by Card Role'!J$12,99,FALSE)</f>
        <v/>
      </c>
      <c r="W16">
        <f>_xlfn.HYPGEOM.DIST($A5,$C$2,'Benchmarks by Card Role'!K$12,99,FALSE)</f>
        <v/>
      </c>
      <c r="X16">
        <f>_xlfn.HYPGEOM.DIST($A5,$C$2,'Benchmarks by Card Role'!L$12,99,FALSE)</f>
        <v/>
      </c>
      <c r="Z16">
        <f>_xlfn.HYPGEOM.DIST($A5,$C$2,'Benchmarks by Card Role'!D$22,99,FALSE)</f>
        <v/>
      </c>
      <c r="AA16">
        <f>_xlfn.HYPGEOM.DIST($A5,$C$2,'Benchmarks by Card Role'!E$22,99,FALSE)</f>
        <v/>
      </c>
      <c r="AB16">
        <f>_xlfn.HYPGEOM.DIST($A5,$C$2,'Benchmarks by Card Role'!F$22,99,FALSE)</f>
        <v/>
      </c>
      <c r="AC16">
        <f>_xlfn.HYPGEOM.DIST($A5,$C$2,'Benchmarks by Card Role'!G$22,99,FALSE)</f>
        <v/>
      </c>
      <c r="AD16">
        <f>_xlfn.HYPGEOM.DIST($A5,$C$2,'Benchmarks by Card Role'!H$22,99,FALSE)</f>
        <v/>
      </c>
      <c r="AE16">
        <f>_xlfn.HYPGEOM.DIST($A5,$C$2,'Benchmarks by Card Role'!I$22,99,FALSE)</f>
        <v/>
      </c>
      <c r="AF16">
        <f>_xlfn.HYPGEOM.DIST($A5,$C$2,'Benchmarks by Card Role'!J$22,99,FALSE)</f>
        <v/>
      </c>
      <c r="AG16">
        <f>_xlfn.HYPGEOM.DIST($A5,$C$2,'Benchmarks by Card Role'!K$22,99,FALSE)</f>
        <v/>
      </c>
      <c r="AH16">
        <f>_xlfn.HYPGEOM.DIST($A5,$C$2,'Benchmarks by Card Role'!L$22,99,FALSE)</f>
        <v/>
      </c>
      <c r="AJ16">
        <f>_xlfn.HYPGEOM.DIST($A5,$C$2,'Benchmarks by Card Role'!D$32,99,FALSE)</f>
        <v/>
      </c>
      <c r="AK16">
        <f>_xlfn.HYPGEOM.DIST($A5,$C$2,'Benchmarks by Card Role'!E$32,99,FALSE)</f>
        <v/>
      </c>
      <c r="AL16">
        <f>_xlfn.HYPGEOM.DIST($A5,$C$2,'Benchmarks by Card Role'!F$32,99,FALSE)</f>
        <v/>
      </c>
      <c r="AM16">
        <f>_xlfn.HYPGEOM.DIST($A5,$C$2,'Benchmarks by Card Role'!G$32,99,FALSE)</f>
        <v/>
      </c>
      <c r="AN16">
        <f>_xlfn.HYPGEOM.DIST($A5,$C$2,'Benchmarks by Card Role'!H$32,99,FALSE)</f>
        <v/>
      </c>
      <c r="AO16">
        <f>_xlfn.HYPGEOM.DIST($A5,$C$2,'Benchmarks by Card Role'!I$32,99,FALSE)</f>
        <v/>
      </c>
      <c r="AP16">
        <f>_xlfn.HYPGEOM.DIST($A5,$C$2,'Benchmarks by Card Role'!J$32,99,FALSE)</f>
        <v/>
      </c>
      <c r="AQ16">
        <f>_xlfn.HYPGEOM.DIST($A5,$C$2,'Benchmarks by Card Role'!K$32,99,FALSE)</f>
        <v/>
      </c>
      <c r="AR16">
        <f>_xlfn.HYPGEOM.DIST($A5,$C$2,'Benchmarks by Card Role'!L$32,99,FALSE)</f>
        <v/>
      </c>
      <c r="AT16">
        <f>_xlfn.HYPGEOM.DIST($A5,$C$2,'Benchmarks by Card Role'!D$42,99,FALSE)</f>
        <v/>
      </c>
      <c r="AU16">
        <f>_xlfn.HYPGEOM.DIST($A5,$C$2,'Benchmarks by Card Role'!E$42,99,FALSE)</f>
        <v/>
      </c>
      <c r="AV16">
        <f>_xlfn.HYPGEOM.DIST($A5,$C$2,'Benchmarks by Card Role'!F$42,99,FALSE)</f>
        <v/>
      </c>
      <c r="AW16">
        <f>_xlfn.HYPGEOM.DIST($A5,$C$2,'Benchmarks by Card Role'!G$42,99,FALSE)</f>
        <v/>
      </c>
      <c r="AX16">
        <f>_xlfn.HYPGEOM.DIST($A5,$C$2,'Benchmarks by Card Role'!H$42,99,FALSE)</f>
        <v/>
      </c>
      <c r="AY16">
        <f>_xlfn.HYPGEOM.DIST($A5,$C$2,'Benchmarks by Card Role'!I$42,99,FALSE)</f>
        <v/>
      </c>
      <c r="AZ16">
        <f>_xlfn.HYPGEOM.DIST($A5,$C$2,'Benchmarks by Card Role'!J$42,99,FALSE)</f>
        <v/>
      </c>
      <c r="BA16">
        <f>_xlfn.HYPGEOM.DIST($A5,$C$2,'Benchmarks by Card Role'!K$42,99,FALSE)</f>
        <v/>
      </c>
      <c r="BB16">
        <f>_xlfn.HYPGEOM.DIST($A5,$C$2,'Benchmarks by Card Role'!L$42,99,FALSE)</f>
        <v/>
      </c>
    </row>
    <row r="17">
      <c r="F17">
        <f>_xlfn.HYPGEOM.DIST($A6,$C$2,'Benchmarks by Card Role'!D$2,99,FALSE)</f>
        <v/>
      </c>
      <c r="G17">
        <f>_xlfn.HYPGEOM.DIST($A6,$C$2,'Benchmarks by Card Role'!E$2,99,FALSE)</f>
        <v/>
      </c>
      <c r="H17">
        <f>_xlfn.HYPGEOM.DIST($A6,$C$2,'Benchmarks by Card Role'!F$2,99,FALSE)</f>
        <v/>
      </c>
      <c r="I17">
        <f>_xlfn.HYPGEOM.DIST($A6,$C$2,'Benchmarks by Card Role'!G$2,99,FALSE)</f>
        <v/>
      </c>
      <c r="J17">
        <f>_xlfn.HYPGEOM.DIST($A6,$C$2,'Benchmarks by Card Role'!H$2,99,FALSE)</f>
        <v/>
      </c>
      <c r="K17">
        <f>_xlfn.HYPGEOM.DIST($A6,$C$2,'Benchmarks by Card Role'!I$2,99,FALSE)</f>
        <v/>
      </c>
      <c r="L17">
        <f>_xlfn.HYPGEOM.DIST($A6,$C$2,'Benchmarks by Card Role'!J$2,99,FALSE)</f>
        <v/>
      </c>
      <c r="M17">
        <f>_xlfn.HYPGEOM.DIST($A6,$C$2,'Benchmarks by Card Role'!K$2,99,FALSE)</f>
        <v/>
      </c>
      <c r="N17">
        <f>_xlfn.HYPGEOM.DIST($A6,$C$2,'Benchmarks by Card Role'!L$2,99,FALSE)</f>
        <v/>
      </c>
      <c r="P17">
        <f>_xlfn.HYPGEOM.DIST($A6,$C$2,'Benchmarks by Card Role'!D$12,99,FALSE)</f>
        <v/>
      </c>
      <c r="Q17">
        <f>_xlfn.HYPGEOM.DIST($A6,$C$2,'Benchmarks by Card Role'!E$12,99,FALSE)</f>
        <v/>
      </c>
      <c r="R17">
        <f>_xlfn.HYPGEOM.DIST($A6,$C$2,'Benchmarks by Card Role'!F$12,99,FALSE)</f>
        <v/>
      </c>
      <c r="S17">
        <f>_xlfn.HYPGEOM.DIST($A6,$C$2,'Benchmarks by Card Role'!G$12,99,FALSE)</f>
        <v/>
      </c>
      <c r="T17">
        <f>_xlfn.HYPGEOM.DIST($A6,$C$2,'Benchmarks by Card Role'!H$12,99,FALSE)</f>
        <v/>
      </c>
      <c r="U17">
        <f>_xlfn.HYPGEOM.DIST($A6,$C$2,'Benchmarks by Card Role'!I$12,99,FALSE)</f>
        <v/>
      </c>
      <c r="V17">
        <f>_xlfn.HYPGEOM.DIST($A6,$C$2,'Benchmarks by Card Role'!J$12,99,FALSE)</f>
        <v/>
      </c>
      <c r="W17">
        <f>_xlfn.HYPGEOM.DIST($A6,$C$2,'Benchmarks by Card Role'!K$12,99,FALSE)</f>
        <v/>
      </c>
      <c r="X17">
        <f>_xlfn.HYPGEOM.DIST($A6,$C$2,'Benchmarks by Card Role'!L$12,99,FALSE)</f>
        <v/>
      </c>
      <c r="Z17">
        <f>_xlfn.HYPGEOM.DIST($A6,$C$2,'Benchmarks by Card Role'!D$22,99,FALSE)</f>
        <v/>
      </c>
      <c r="AA17">
        <f>_xlfn.HYPGEOM.DIST($A6,$C$2,'Benchmarks by Card Role'!E$22,99,FALSE)</f>
        <v/>
      </c>
      <c r="AB17">
        <f>_xlfn.HYPGEOM.DIST($A6,$C$2,'Benchmarks by Card Role'!F$22,99,FALSE)</f>
        <v/>
      </c>
      <c r="AC17">
        <f>_xlfn.HYPGEOM.DIST($A6,$C$2,'Benchmarks by Card Role'!G$22,99,FALSE)</f>
        <v/>
      </c>
      <c r="AD17">
        <f>_xlfn.HYPGEOM.DIST($A6,$C$2,'Benchmarks by Card Role'!H$22,99,FALSE)</f>
        <v/>
      </c>
      <c r="AE17">
        <f>_xlfn.HYPGEOM.DIST($A6,$C$2,'Benchmarks by Card Role'!I$22,99,FALSE)</f>
        <v/>
      </c>
      <c r="AF17">
        <f>_xlfn.HYPGEOM.DIST($A6,$C$2,'Benchmarks by Card Role'!J$22,99,FALSE)</f>
        <v/>
      </c>
      <c r="AG17">
        <f>_xlfn.HYPGEOM.DIST($A6,$C$2,'Benchmarks by Card Role'!K$22,99,FALSE)</f>
        <v/>
      </c>
      <c r="AH17">
        <f>_xlfn.HYPGEOM.DIST($A6,$C$2,'Benchmarks by Card Role'!L$22,99,FALSE)</f>
        <v/>
      </c>
      <c r="AJ17">
        <f>_xlfn.HYPGEOM.DIST($A6,$C$2,'Benchmarks by Card Role'!D$32,99,FALSE)</f>
        <v/>
      </c>
      <c r="AK17">
        <f>_xlfn.HYPGEOM.DIST($A6,$C$2,'Benchmarks by Card Role'!E$32,99,FALSE)</f>
        <v/>
      </c>
      <c r="AL17">
        <f>_xlfn.HYPGEOM.DIST($A6,$C$2,'Benchmarks by Card Role'!F$32,99,FALSE)</f>
        <v/>
      </c>
      <c r="AM17">
        <f>_xlfn.HYPGEOM.DIST($A6,$C$2,'Benchmarks by Card Role'!G$32,99,FALSE)</f>
        <v/>
      </c>
      <c r="AN17">
        <f>_xlfn.HYPGEOM.DIST($A6,$C$2,'Benchmarks by Card Role'!H$32,99,FALSE)</f>
        <v/>
      </c>
      <c r="AO17">
        <f>_xlfn.HYPGEOM.DIST($A6,$C$2,'Benchmarks by Card Role'!I$32,99,FALSE)</f>
        <v/>
      </c>
      <c r="AP17">
        <f>_xlfn.HYPGEOM.DIST($A6,$C$2,'Benchmarks by Card Role'!J$32,99,FALSE)</f>
        <v/>
      </c>
      <c r="AQ17">
        <f>_xlfn.HYPGEOM.DIST($A6,$C$2,'Benchmarks by Card Role'!K$32,99,FALSE)</f>
        <v/>
      </c>
      <c r="AR17">
        <f>_xlfn.HYPGEOM.DIST($A6,$C$2,'Benchmarks by Card Role'!L$32,99,FALSE)</f>
        <v/>
      </c>
      <c r="AT17">
        <f>_xlfn.HYPGEOM.DIST($A6,$C$2,'Benchmarks by Card Role'!D$42,99,FALSE)</f>
        <v/>
      </c>
      <c r="AU17">
        <f>_xlfn.HYPGEOM.DIST($A6,$C$2,'Benchmarks by Card Role'!E$42,99,FALSE)</f>
        <v/>
      </c>
      <c r="AV17">
        <f>_xlfn.HYPGEOM.DIST($A6,$C$2,'Benchmarks by Card Role'!F$42,99,FALSE)</f>
        <v/>
      </c>
      <c r="AW17">
        <f>_xlfn.HYPGEOM.DIST($A6,$C$2,'Benchmarks by Card Role'!G$42,99,FALSE)</f>
        <v/>
      </c>
      <c r="AX17">
        <f>_xlfn.HYPGEOM.DIST($A6,$C$2,'Benchmarks by Card Role'!H$42,99,FALSE)</f>
        <v/>
      </c>
      <c r="AY17">
        <f>_xlfn.HYPGEOM.DIST($A6,$C$2,'Benchmarks by Card Role'!I$42,99,FALSE)</f>
        <v/>
      </c>
      <c r="AZ17">
        <f>_xlfn.HYPGEOM.DIST($A6,$C$2,'Benchmarks by Card Role'!J$42,99,FALSE)</f>
        <v/>
      </c>
      <c r="BA17">
        <f>_xlfn.HYPGEOM.DIST($A6,$C$2,'Benchmarks by Card Role'!K$42,99,FALSE)</f>
        <v/>
      </c>
      <c r="BB17">
        <f>_xlfn.HYPGEOM.DIST($A6,$C$2,'Benchmarks by Card Role'!L$42,99,FALSE)</f>
        <v/>
      </c>
    </row>
    <row r="18">
      <c r="F18">
        <f>_xlfn.HYPGEOM.DIST($A7,$C$2,'Benchmarks by Card Role'!D$2,99,FALSE)</f>
        <v/>
      </c>
      <c r="G18">
        <f>_xlfn.HYPGEOM.DIST($A7,$C$2,'Benchmarks by Card Role'!E$2,99,FALSE)</f>
        <v/>
      </c>
      <c r="H18">
        <f>_xlfn.HYPGEOM.DIST($A7,$C$2,'Benchmarks by Card Role'!F$2,99,FALSE)</f>
        <v/>
      </c>
      <c r="I18">
        <f>_xlfn.HYPGEOM.DIST($A7,$C$2,'Benchmarks by Card Role'!G$2,99,FALSE)</f>
        <v/>
      </c>
      <c r="J18">
        <f>_xlfn.HYPGEOM.DIST($A7,$C$2,'Benchmarks by Card Role'!H$2,99,FALSE)</f>
        <v/>
      </c>
      <c r="K18">
        <f>_xlfn.HYPGEOM.DIST($A7,$C$2,'Benchmarks by Card Role'!I$2,99,FALSE)</f>
        <v/>
      </c>
      <c r="L18">
        <f>_xlfn.HYPGEOM.DIST($A7,$C$2,'Benchmarks by Card Role'!J$2,99,FALSE)</f>
        <v/>
      </c>
      <c r="M18">
        <f>_xlfn.HYPGEOM.DIST($A7,$C$2,'Benchmarks by Card Role'!K$2,99,FALSE)</f>
        <v/>
      </c>
      <c r="N18">
        <f>_xlfn.HYPGEOM.DIST($A7,$C$2,'Benchmarks by Card Role'!L$2,99,FALSE)</f>
        <v/>
      </c>
      <c r="P18">
        <f>_xlfn.HYPGEOM.DIST($A7,$C$2,'Benchmarks by Card Role'!D$12,99,FALSE)</f>
        <v/>
      </c>
      <c r="Q18">
        <f>_xlfn.HYPGEOM.DIST($A7,$C$2,'Benchmarks by Card Role'!E$12,99,FALSE)</f>
        <v/>
      </c>
      <c r="R18">
        <f>_xlfn.HYPGEOM.DIST($A7,$C$2,'Benchmarks by Card Role'!F$12,99,FALSE)</f>
        <v/>
      </c>
      <c r="S18">
        <f>_xlfn.HYPGEOM.DIST($A7,$C$2,'Benchmarks by Card Role'!G$12,99,FALSE)</f>
        <v/>
      </c>
      <c r="T18">
        <f>_xlfn.HYPGEOM.DIST($A7,$C$2,'Benchmarks by Card Role'!H$12,99,FALSE)</f>
        <v/>
      </c>
      <c r="U18">
        <f>_xlfn.HYPGEOM.DIST($A7,$C$2,'Benchmarks by Card Role'!I$12,99,FALSE)</f>
        <v/>
      </c>
      <c r="V18">
        <f>_xlfn.HYPGEOM.DIST($A7,$C$2,'Benchmarks by Card Role'!J$12,99,FALSE)</f>
        <v/>
      </c>
      <c r="W18">
        <f>_xlfn.HYPGEOM.DIST($A7,$C$2,'Benchmarks by Card Role'!K$12,99,FALSE)</f>
        <v/>
      </c>
      <c r="X18">
        <f>_xlfn.HYPGEOM.DIST($A7,$C$2,'Benchmarks by Card Role'!L$12,99,FALSE)</f>
        <v/>
      </c>
      <c r="Z18">
        <f>_xlfn.HYPGEOM.DIST($A7,$C$2,'Benchmarks by Card Role'!D$22,99,FALSE)</f>
        <v/>
      </c>
      <c r="AA18">
        <f>_xlfn.HYPGEOM.DIST($A7,$C$2,'Benchmarks by Card Role'!E$22,99,FALSE)</f>
        <v/>
      </c>
      <c r="AB18">
        <f>_xlfn.HYPGEOM.DIST($A7,$C$2,'Benchmarks by Card Role'!F$22,99,FALSE)</f>
        <v/>
      </c>
      <c r="AC18">
        <f>_xlfn.HYPGEOM.DIST($A7,$C$2,'Benchmarks by Card Role'!G$22,99,FALSE)</f>
        <v/>
      </c>
      <c r="AD18">
        <f>_xlfn.HYPGEOM.DIST($A7,$C$2,'Benchmarks by Card Role'!H$22,99,FALSE)</f>
        <v/>
      </c>
      <c r="AE18">
        <f>_xlfn.HYPGEOM.DIST($A7,$C$2,'Benchmarks by Card Role'!I$22,99,FALSE)</f>
        <v/>
      </c>
      <c r="AF18">
        <f>_xlfn.HYPGEOM.DIST($A7,$C$2,'Benchmarks by Card Role'!J$22,99,FALSE)</f>
        <v/>
      </c>
      <c r="AG18">
        <f>_xlfn.HYPGEOM.DIST($A7,$C$2,'Benchmarks by Card Role'!K$22,99,FALSE)</f>
        <v/>
      </c>
      <c r="AH18">
        <f>_xlfn.HYPGEOM.DIST($A7,$C$2,'Benchmarks by Card Role'!L$22,99,FALSE)</f>
        <v/>
      </c>
      <c r="AJ18">
        <f>_xlfn.HYPGEOM.DIST($A7,$C$2,'Benchmarks by Card Role'!D$32,99,FALSE)</f>
        <v/>
      </c>
      <c r="AK18">
        <f>_xlfn.HYPGEOM.DIST($A7,$C$2,'Benchmarks by Card Role'!E$32,99,FALSE)</f>
        <v/>
      </c>
      <c r="AL18">
        <f>_xlfn.HYPGEOM.DIST($A7,$C$2,'Benchmarks by Card Role'!F$32,99,FALSE)</f>
        <v/>
      </c>
      <c r="AM18">
        <f>_xlfn.HYPGEOM.DIST($A7,$C$2,'Benchmarks by Card Role'!G$32,99,FALSE)</f>
        <v/>
      </c>
      <c r="AN18">
        <f>_xlfn.HYPGEOM.DIST($A7,$C$2,'Benchmarks by Card Role'!H$32,99,FALSE)</f>
        <v/>
      </c>
      <c r="AO18">
        <f>_xlfn.HYPGEOM.DIST($A7,$C$2,'Benchmarks by Card Role'!I$32,99,FALSE)</f>
        <v/>
      </c>
      <c r="AP18">
        <f>_xlfn.HYPGEOM.DIST($A7,$C$2,'Benchmarks by Card Role'!J$32,99,FALSE)</f>
        <v/>
      </c>
      <c r="AQ18">
        <f>_xlfn.HYPGEOM.DIST($A7,$C$2,'Benchmarks by Card Role'!K$32,99,FALSE)</f>
        <v/>
      </c>
      <c r="AR18">
        <f>_xlfn.HYPGEOM.DIST($A7,$C$2,'Benchmarks by Card Role'!L$32,99,FALSE)</f>
        <v/>
      </c>
      <c r="AT18">
        <f>_xlfn.HYPGEOM.DIST($A7,$C$2,'Benchmarks by Card Role'!D$42,99,FALSE)</f>
        <v/>
      </c>
      <c r="AU18">
        <f>_xlfn.HYPGEOM.DIST($A7,$C$2,'Benchmarks by Card Role'!E$42,99,FALSE)</f>
        <v/>
      </c>
      <c r="AV18">
        <f>_xlfn.HYPGEOM.DIST($A7,$C$2,'Benchmarks by Card Role'!F$42,99,FALSE)</f>
        <v/>
      </c>
      <c r="AW18">
        <f>_xlfn.HYPGEOM.DIST($A7,$C$2,'Benchmarks by Card Role'!G$42,99,FALSE)</f>
        <v/>
      </c>
      <c r="AX18">
        <f>_xlfn.HYPGEOM.DIST($A7,$C$2,'Benchmarks by Card Role'!H$42,99,FALSE)</f>
        <v/>
      </c>
      <c r="AY18">
        <f>_xlfn.HYPGEOM.DIST($A7,$C$2,'Benchmarks by Card Role'!I$42,99,FALSE)</f>
        <v/>
      </c>
      <c r="AZ18">
        <f>_xlfn.HYPGEOM.DIST($A7,$C$2,'Benchmarks by Card Role'!J$42,99,FALSE)</f>
        <v/>
      </c>
      <c r="BA18">
        <f>_xlfn.HYPGEOM.DIST($A7,$C$2,'Benchmarks by Card Role'!K$42,99,FALSE)</f>
        <v/>
      </c>
      <c r="BB18">
        <f>_xlfn.HYPGEOM.DIST($A7,$C$2,'Benchmarks by Card Role'!L$42,99,FALSE)</f>
        <v/>
      </c>
    </row>
    <row r="19">
      <c r="F19">
        <f>_xlfn.HYPGEOM.DIST($A8,$C$2,'Benchmarks by Card Role'!D$2,99,FALSE)</f>
        <v/>
      </c>
      <c r="G19">
        <f>_xlfn.HYPGEOM.DIST($A8,$C$2,'Benchmarks by Card Role'!E$2,99,FALSE)</f>
        <v/>
      </c>
      <c r="H19">
        <f>_xlfn.HYPGEOM.DIST($A8,$C$2,'Benchmarks by Card Role'!F$2,99,FALSE)</f>
        <v/>
      </c>
      <c r="I19">
        <f>_xlfn.HYPGEOM.DIST($A8,$C$2,'Benchmarks by Card Role'!G$2,99,FALSE)</f>
        <v/>
      </c>
      <c r="J19">
        <f>_xlfn.HYPGEOM.DIST($A8,$C$2,'Benchmarks by Card Role'!H$2,99,FALSE)</f>
        <v/>
      </c>
      <c r="K19">
        <f>_xlfn.HYPGEOM.DIST($A8,$C$2,'Benchmarks by Card Role'!I$2,99,FALSE)</f>
        <v/>
      </c>
      <c r="L19">
        <f>_xlfn.HYPGEOM.DIST($A8,$C$2,'Benchmarks by Card Role'!J$2,99,FALSE)</f>
        <v/>
      </c>
      <c r="M19">
        <f>_xlfn.HYPGEOM.DIST($A8,$C$2,'Benchmarks by Card Role'!K$2,99,FALSE)</f>
        <v/>
      </c>
      <c r="N19">
        <f>_xlfn.HYPGEOM.DIST($A8,$C$2,'Benchmarks by Card Role'!L$2,99,FALSE)</f>
        <v/>
      </c>
      <c r="P19">
        <f>_xlfn.HYPGEOM.DIST($A8,$C$2,'Benchmarks by Card Role'!D$12,99,FALSE)</f>
        <v/>
      </c>
      <c r="Q19">
        <f>_xlfn.HYPGEOM.DIST($A8,$C$2,'Benchmarks by Card Role'!E$12,99,FALSE)</f>
        <v/>
      </c>
      <c r="R19">
        <f>_xlfn.HYPGEOM.DIST($A8,$C$2,'Benchmarks by Card Role'!F$12,99,FALSE)</f>
        <v/>
      </c>
      <c r="S19">
        <f>_xlfn.HYPGEOM.DIST($A8,$C$2,'Benchmarks by Card Role'!G$12,99,FALSE)</f>
        <v/>
      </c>
      <c r="T19">
        <f>_xlfn.HYPGEOM.DIST($A8,$C$2,'Benchmarks by Card Role'!H$12,99,FALSE)</f>
        <v/>
      </c>
      <c r="U19">
        <f>_xlfn.HYPGEOM.DIST($A8,$C$2,'Benchmarks by Card Role'!I$12,99,FALSE)</f>
        <v/>
      </c>
      <c r="V19">
        <f>_xlfn.HYPGEOM.DIST($A8,$C$2,'Benchmarks by Card Role'!J$12,99,FALSE)</f>
        <v/>
      </c>
      <c r="W19">
        <f>_xlfn.HYPGEOM.DIST($A8,$C$2,'Benchmarks by Card Role'!K$12,99,FALSE)</f>
        <v/>
      </c>
      <c r="X19">
        <f>_xlfn.HYPGEOM.DIST($A8,$C$2,'Benchmarks by Card Role'!L$12,99,FALSE)</f>
        <v/>
      </c>
      <c r="Z19">
        <f>_xlfn.HYPGEOM.DIST($A8,$C$2,'Benchmarks by Card Role'!D$22,99,FALSE)</f>
        <v/>
      </c>
      <c r="AA19">
        <f>_xlfn.HYPGEOM.DIST($A8,$C$2,'Benchmarks by Card Role'!E$22,99,FALSE)</f>
        <v/>
      </c>
      <c r="AB19">
        <f>_xlfn.HYPGEOM.DIST($A8,$C$2,'Benchmarks by Card Role'!F$22,99,FALSE)</f>
        <v/>
      </c>
      <c r="AC19">
        <f>_xlfn.HYPGEOM.DIST($A8,$C$2,'Benchmarks by Card Role'!G$22,99,FALSE)</f>
        <v/>
      </c>
      <c r="AD19">
        <f>_xlfn.HYPGEOM.DIST($A8,$C$2,'Benchmarks by Card Role'!H$22,99,FALSE)</f>
        <v/>
      </c>
      <c r="AE19">
        <f>_xlfn.HYPGEOM.DIST($A8,$C$2,'Benchmarks by Card Role'!I$22,99,FALSE)</f>
        <v/>
      </c>
      <c r="AF19">
        <f>_xlfn.HYPGEOM.DIST($A8,$C$2,'Benchmarks by Card Role'!J$22,99,FALSE)</f>
        <v/>
      </c>
      <c r="AG19">
        <f>_xlfn.HYPGEOM.DIST($A8,$C$2,'Benchmarks by Card Role'!K$22,99,FALSE)</f>
        <v/>
      </c>
      <c r="AH19">
        <f>_xlfn.HYPGEOM.DIST($A8,$C$2,'Benchmarks by Card Role'!L$22,99,FALSE)</f>
        <v/>
      </c>
      <c r="AJ19">
        <f>_xlfn.HYPGEOM.DIST($A8,$C$2,'Benchmarks by Card Role'!D$32,99,FALSE)</f>
        <v/>
      </c>
      <c r="AK19">
        <f>_xlfn.HYPGEOM.DIST($A8,$C$2,'Benchmarks by Card Role'!E$32,99,FALSE)</f>
        <v/>
      </c>
      <c r="AL19">
        <f>_xlfn.HYPGEOM.DIST($A8,$C$2,'Benchmarks by Card Role'!F$32,99,FALSE)</f>
        <v/>
      </c>
      <c r="AM19">
        <f>_xlfn.HYPGEOM.DIST($A8,$C$2,'Benchmarks by Card Role'!G$32,99,FALSE)</f>
        <v/>
      </c>
      <c r="AN19">
        <f>_xlfn.HYPGEOM.DIST($A8,$C$2,'Benchmarks by Card Role'!H$32,99,FALSE)</f>
        <v/>
      </c>
      <c r="AO19">
        <f>_xlfn.HYPGEOM.DIST($A8,$C$2,'Benchmarks by Card Role'!I$32,99,FALSE)</f>
        <v/>
      </c>
      <c r="AP19">
        <f>_xlfn.HYPGEOM.DIST($A8,$C$2,'Benchmarks by Card Role'!J$32,99,FALSE)</f>
        <v/>
      </c>
      <c r="AQ19">
        <f>_xlfn.HYPGEOM.DIST($A8,$C$2,'Benchmarks by Card Role'!K$32,99,FALSE)</f>
        <v/>
      </c>
      <c r="AR19">
        <f>_xlfn.HYPGEOM.DIST($A8,$C$2,'Benchmarks by Card Role'!L$32,99,FALSE)</f>
        <v/>
      </c>
      <c r="AT19">
        <f>_xlfn.HYPGEOM.DIST($A8,$C$2,'Benchmarks by Card Role'!D$42,99,FALSE)</f>
        <v/>
      </c>
      <c r="AU19">
        <f>_xlfn.HYPGEOM.DIST($A8,$C$2,'Benchmarks by Card Role'!E$42,99,FALSE)</f>
        <v/>
      </c>
      <c r="AV19">
        <f>_xlfn.HYPGEOM.DIST($A8,$C$2,'Benchmarks by Card Role'!F$42,99,FALSE)</f>
        <v/>
      </c>
      <c r="AW19">
        <f>_xlfn.HYPGEOM.DIST($A8,$C$2,'Benchmarks by Card Role'!G$42,99,FALSE)</f>
        <v/>
      </c>
      <c r="AX19">
        <f>_xlfn.HYPGEOM.DIST($A8,$C$2,'Benchmarks by Card Role'!H$42,99,FALSE)</f>
        <v/>
      </c>
      <c r="AY19">
        <f>_xlfn.HYPGEOM.DIST($A8,$C$2,'Benchmarks by Card Role'!I$42,99,FALSE)</f>
        <v/>
      </c>
      <c r="AZ19">
        <f>_xlfn.HYPGEOM.DIST($A8,$C$2,'Benchmarks by Card Role'!J$42,99,FALSE)</f>
        <v/>
      </c>
      <c r="BA19">
        <f>_xlfn.HYPGEOM.DIST($A8,$C$2,'Benchmarks by Card Role'!K$42,99,FALSE)</f>
        <v/>
      </c>
      <c r="BB19">
        <f>_xlfn.HYPGEOM.DIST($A8,$C$2,'Benchmarks by Card Role'!L$42,99,FALSE)</f>
        <v/>
      </c>
    </row>
    <row r="20">
      <c r="F20">
        <f>_xlfn.HYPGEOM.DIST($A9,$C$2,'Benchmarks by Card Role'!D$2,99,FALSE)</f>
        <v/>
      </c>
      <c r="G20">
        <f>_xlfn.HYPGEOM.DIST($A9,$C$2,'Benchmarks by Card Role'!E$2,99,FALSE)</f>
        <v/>
      </c>
      <c r="H20">
        <f>_xlfn.HYPGEOM.DIST($A9,$C$2,'Benchmarks by Card Role'!F$2,99,FALSE)</f>
        <v/>
      </c>
      <c r="I20">
        <f>_xlfn.HYPGEOM.DIST($A9,$C$2,'Benchmarks by Card Role'!G$2,99,FALSE)</f>
        <v/>
      </c>
      <c r="J20">
        <f>_xlfn.HYPGEOM.DIST($A9,$C$2,'Benchmarks by Card Role'!H$2,99,FALSE)</f>
        <v/>
      </c>
      <c r="K20">
        <f>_xlfn.HYPGEOM.DIST($A9,$C$2,'Benchmarks by Card Role'!I$2,99,FALSE)</f>
        <v/>
      </c>
      <c r="L20">
        <f>_xlfn.HYPGEOM.DIST($A9,$C$2,'Benchmarks by Card Role'!J$2,99,FALSE)</f>
        <v/>
      </c>
      <c r="M20">
        <f>_xlfn.HYPGEOM.DIST($A9,$C$2,'Benchmarks by Card Role'!K$2,99,FALSE)</f>
        <v/>
      </c>
      <c r="N20">
        <f>_xlfn.HYPGEOM.DIST($A9,$C$2,'Benchmarks by Card Role'!L$2,99,FALSE)</f>
        <v/>
      </c>
      <c r="P20">
        <f>_xlfn.HYPGEOM.DIST($A9,$C$2,'Benchmarks by Card Role'!D$12,99,FALSE)</f>
        <v/>
      </c>
      <c r="Q20">
        <f>_xlfn.HYPGEOM.DIST($A9,$C$2,'Benchmarks by Card Role'!E$12,99,FALSE)</f>
        <v/>
      </c>
      <c r="R20">
        <f>_xlfn.HYPGEOM.DIST($A9,$C$2,'Benchmarks by Card Role'!F$12,99,FALSE)</f>
        <v/>
      </c>
      <c r="S20">
        <f>_xlfn.HYPGEOM.DIST($A9,$C$2,'Benchmarks by Card Role'!G$12,99,FALSE)</f>
        <v/>
      </c>
      <c r="T20">
        <f>_xlfn.HYPGEOM.DIST($A9,$C$2,'Benchmarks by Card Role'!H$12,99,FALSE)</f>
        <v/>
      </c>
      <c r="U20">
        <f>_xlfn.HYPGEOM.DIST($A9,$C$2,'Benchmarks by Card Role'!I$12,99,FALSE)</f>
        <v/>
      </c>
      <c r="V20">
        <f>_xlfn.HYPGEOM.DIST($A9,$C$2,'Benchmarks by Card Role'!J$12,99,FALSE)</f>
        <v/>
      </c>
      <c r="W20">
        <f>_xlfn.HYPGEOM.DIST($A9,$C$2,'Benchmarks by Card Role'!K$12,99,FALSE)</f>
        <v/>
      </c>
      <c r="X20">
        <f>_xlfn.HYPGEOM.DIST($A9,$C$2,'Benchmarks by Card Role'!L$12,99,FALSE)</f>
        <v/>
      </c>
      <c r="Z20">
        <f>_xlfn.HYPGEOM.DIST($A9,$C$2,'Benchmarks by Card Role'!D$22,99,FALSE)</f>
        <v/>
      </c>
      <c r="AA20">
        <f>_xlfn.HYPGEOM.DIST($A9,$C$2,'Benchmarks by Card Role'!E$22,99,FALSE)</f>
        <v/>
      </c>
      <c r="AB20">
        <f>_xlfn.HYPGEOM.DIST($A9,$C$2,'Benchmarks by Card Role'!F$22,99,FALSE)</f>
        <v/>
      </c>
      <c r="AC20">
        <f>_xlfn.HYPGEOM.DIST($A9,$C$2,'Benchmarks by Card Role'!G$22,99,FALSE)</f>
        <v/>
      </c>
      <c r="AD20">
        <f>_xlfn.HYPGEOM.DIST($A9,$C$2,'Benchmarks by Card Role'!H$22,99,FALSE)</f>
        <v/>
      </c>
      <c r="AE20">
        <f>_xlfn.HYPGEOM.DIST($A9,$C$2,'Benchmarks by Card Role'!I$22,99,FALSE)</f>
        <v/>
      </c>
      <c r="AF20">
        <f>_xlfn.HYPGEOM.DIST($A9,$C$2,'Benchmarks by Card Role'!J$22,99,FALSE)</f>
        <v/>
      </c>
      <c r="AG20">
        <f>_xlfn.HYPGEOM.DIST($A9,$C$2,'Benchmarks by Card Role'!K$22,99,FALSE)</f>
        <v/>
      </c>
      <c r="AH20">
        <f>_xlfn.HYPGEOM.DIST($A9,$C$2,'Benchmarks by Card Role'!L$22,99,FALSE)</f>
        <v/>
      </c>
      <c r="AJ20">
        <f>_xlfn.HYPGEOM.DIST($A9,$C$2,'Benchmarks by Card Role'!D$32,99,FALSE)</f>
        <v/>
      </c>
      <c r="AK20">
        <f>_xlfn.HYPGEOM.DIST($A9,$C$2,'Benchmarks by Card Role'!E$32,99,FALSE)</f>
        <v/>
      </c>
      <c r="AL20">
        <f>_xlfn.HYPGEOM.DIST($A9,$C$2,'Benchmarks by Card Role'!F$32,99,FALSE)</f>
        <v/>
      </c>
      <c r="AM20">
        <f>_xlfn.HYPGEOM.DIST($A9,$C$2,'Benchmarks by Card Role'!G$32,99,FALSE)</f>
        <v/>
      </c>
      <c r="AN20">
        <f>_xlfn.HYPGEOM.DIST($A9,$C$2,'Benchmarks by Card Role'!H$32,99,FALSE)</f>
        <v/>
      </c>
      <c r="AO20">
        <f>_xlfn.HYPGEOM.DIST($A9,$C$2,'Benchmarks by Card Role'!I$32,99,FALSE)</f>
        <v/>
      </c>
      <c r="AP20">
        <f>_xlfn.HYPGEOM.DIST($A9,$C$2,'Benchmarks by Card Role'!J$32,99,FALSE)</f>
        <v/>
      </c>
      <c r="AQ20">
        <f>_xlfn.HYPGEOM.DIST($A9,$C$2,'Benchmarks by Card Role'!K$32,99,FALSE)</f>
        <v/>
      </c>
      <c r="AR20">
        <f>_xlfn.HYPGEOM.DIST($A9,$C$2,'Benchmarks by Card Role'!L$32,99,FALSE)</f>
        <v/>
      </c>
      <c r="AT20">
        <f>_xlfn.HYPGEOM.DIST($A9,$C$2,'Benchmarks by Card Role'!D$42,99,FALSE)</f>
        <v/>
      </c>
      <c r="AU20">
        <f>_xlfn.HYPGEOM.DIST($A9,$C$2,'Benchmarks by Card Role'!E$42,99,FALSE)</f>
        <v/>
      </c>
      <c r="AV20">
        <f>_xlfn.HYPGEOM.DIST($A9,$C$2,'Benchmarks by Card Role'!F$42,99,FALSE)</f>
        <v/>
      </c>
      <c r="AW20">
        <f>_xlfn.HYPGEOM.DIST($A9,$C$2,'Benchmarks by Card Role'!G$42,99,FALSE)</f>
        <v/>
      </c>
      <c r="AX20">
        <f>_xlfn.HYPGEOM.DIST($A9,$C$2,'Benchmarks by Card Role'!H$42,99,FALSE)</f>
        <v/>
      </c>
      <c r="AY20">
        <f>_xlfn.HYPGEOM.DIST($A9,$C$2,'Benchmarks by Card Role'!I$42,99,FALSE)</f>
        <v/>
      </c>
      <c r="AZ20">
        <f>_xlfn.HYPGEOM.DIST($A9,$C$2,'Benchmarks by Card Role'!J$42,99,FALSE)</f>
        <v/>
      </c>
      <c r="BA20">
        <f>_xlfn.HYPGEOM.DIST($A9,$C$2,'Benchmarks by Card Role'!K$42,99,FALSE)</f>
        <v/>
      </c>
      <c r="BB20">
        <f>_xlfn.HYPGEOM.DIST($A9,$C$2,'Benchmarks by Card Role'!L$42,99,FALSE)</f>
        <v/>
      </c>
    </row>
    <row r="21">
      <c r="F21">
        <f>SUM(F12*$A$1,F13*$A$2,F14*$A$3,F15*$A$4,F16*$A$5,F17*$A$6,F18*$A$7,F19*$A$8,F20*$A$9)</f>
        <v/>
      </c>
      <c r="G21">
        <f>SUM(G12*$A$1,G13*$A$2,G14*$A$3,G15*$A$4,G16*$A$5,G17*$A$6,G18*$A$7,G19*$A$8,G20*$A$9)</f>
        <v/>
      </c>
      <c r="H21">
        <f>SUM(H12*$A$1,H13*$A$2,H14*$A$3,H15*$A$4,H16*$A$5,H17*$A$6,H18*$A$7,H19*$A$8,H20*$A$9)</f>
        <v/>
      </c>
      <c r="I21">
        <f>SUM(I12*$A$1,I13*$A$2,I14*$A$3,I15*$A$4,I16*$A$5,I17*$A$6,I18*$A$7,I19*$A$8,I20*$A$9)</f>
        <v/>
      </c>
      <c r="J21">
        <f>SUM(J12*$A$1,J13*$A$2,J14*$A$3,J15*$A$4,J16*$A$5,J17*$A$6,J18*$A$7,J19*$A$8,J20*$A$9)</f>
        <v/>
      </c>
      <c r="K21">
        <f>SUM(K12*$A$1,K13*$A$2,K14*$A$3,K15*$A$4,K16*$A$5,K17*$A$6,K18*$A$7,K19*$A$8,K20*$A$9)</f>
        <v/>
      </c>
      <c r="L21">
        <f>SUM(L12*$A$1,L13*$A$2,L14*$A$3,L15*$A$4,L16*$A$5,L17*$A$6,L18*$A$7,L19*$A$8,L20*$A$9)</f>
        <v/>
      </c>
      <c r="M21">
        <f>SUM(M12*$A$1,M13*$A$2,M14*$A$3,M15*$A$4,M16*$A$5,M17*$A$6,M18*$A$7,M19*$A$8,M20*$A$9)</f>
        <v/>
      </c>
      <c r="N21">
        <f>SUM(N12*$A$1,N13*$A$2,N14*$A$3,N15*$A$4,N16*$A$5,N17*$A$6,N18*$A$7,N19*$A$8,N20*$A$9)</f>
        <v/>
      </c>
      <c r="P21">
        <f>SUM(P12*$A$1,P13*$A$2,P14*$A$3,P15*$A$4,P16*$A$5,P17*$A$6,P18*$A$7,P19*$A$8,P20*$A$9)</f>
        <v/>
      </c>
      <c r="Q21">
        <f>SUM(Q12*$A$1,Q13*$A$2,Q14*$A$3,Q15*$A$4,Q16*$A$5,Q17*$A$6,Q18*$A$7,Q19*$A$8,Q20*$A$9)</f>
        <v/>
      </c>
      <c r="R21">
        <f>SUM(R12*$A$1,R13*$A$2,R14*$A$3,R15*$A$4,R16*$A$5,R17*$A$6,R18*$A$7,R19*$A$8,R20*$A$9)</f>
        <v/>
      </c>
      <c r="S21">
        <f>SUM(S12*$A$1,S13*$A$2,S14*$A$3,S15*$A$4,S16*$A$5,S17*$A$6,S18*$A$7,S19*$A$8,S20*$A$9)</f>
        <v/>
      </c>
      <c r="T21">
        <f>SUM(T12*$A$1,T13*$A$2,T14*$A$3,T15*$A$4,T16*$A$5,T17*$A$6,T18*$A$7,T19*$A$8,T20*$A$9)</f>
        <v/>
      </c>
      <c r="U21">
        <f>SUM(U12*$A$1,U13*$A$2,U14*$A$3,U15*$A$4,U16*$A$5,U17*$A$6,U18*$A$7,U19*$A$8,U20*$A$9)</f>
        <v/>
      </c>
      <c r="V21">
        <f>SUM(V12*$A$1,V13*$A$2,V14*$A$3,V15*$A$4,V16*$A$5,V17*$A$6,V18*$A$7,V19*$A$8,V20*$A$9)</f>
        <v/>
      </c>
      <c r="W21">
        <f>SUM(W12*$A$1,W13*$A$2,W14*$A$3,W15*$A$4,W16*$A$5,W17*$A$6,W18*$A$7,W19*$A$8,W20*$A$9)</f>
        <v/>
      </c>
      <c r="X21">
        <f>SUM(X12*$A$1,X13*$A$2,X14*$A$3,X15*$A$4,X16*$A$5,X17*$A$6,X18*$A$7,X19*$A$8,X20*$A$9)</f>
        <v/>
      </c>
      <c r="Z21">
        <f>SUM(Z12*$A$1,Z13*$A$2,Z14*$A$3,Z15*$A$4,Z16*$A$5,Z17*$A$6,Z18*$A$7,Z19*$A$8,Z20*$A$9)</f>
        <v/>
      </c>
      <c r="AA21">
        <f>SUM(AA12*$A$1,AA13*$A$2,AA14*$A$3,AA15*$A$4,AA16*$A$5,AA17*$A$6,AA18*$A$7,AA19*$A$8,AA20*$A$9)</f>
        <v/>
      </c>
      <c r="AB21">
        <f>SUM(AB12*$A$1,AB13*$A$2,AB14*$A$3,AB15*$A$4,AB16*$A$5,AB17*$A$6,AB18*$A$7,AB19*$A$8,AB20*$A$9)</f>
        <v/>
      </c>
      <c r="AC21">
        <f>SUM(AC12*$A$1,AC13*$A$2,AC14*$A$3,AC15*$A$4,AC16*$A$5,AC17*$A$6,AC18*$A$7,AC19*$A$8,AC20*$A$9)</f>
        <v/>
      </c>
      <c r="AD21">
        <f>SUM(AD12*$A$1,AD13*$A$2,AD14*$A$3,AD15*$A$4,AD16*$A$5,AD17*$A$6,AD18*$A$7,AD19*$A$8,AD20*$A$9)</f>
        <v/>
      </c>
      <c r="AE21">
        <f>SUM(AE12*$A$1,AE13*$A$2,AE14*$A$3,AE15*$A$4,AE16*$A$5,AE17*$A$6,AE18*$A$7,AE19*$A$8,AE20*$A$9)</f>
        <v/>
      </c>
      <c r="AF21">
        <f>SUM(AF12*$A$1,AF13*$A$2,AF14*$A$3,AF15*$A$4,AF16*$A$5,AF17*$A$6,AF18*$A$7,AF19*$A$8,AF20*$A$9)</f>
        <v/>
      </c>
      <c r="AG21">
        <f>SUM(AG12*$A$1,AG13*$A$2,AG14*$A$3,AG15*$A$4,AG16*$A$5,AG17*$A$6,AG18*$A$7,AG19*$A$8,AG20*$A$9)</f>
        <v/>
      </c>
      <c r="AH21">
        <f>SUM(AH12*$A$1,AH13*$A$2,AH14*$A$3,AH15*$A$4,AH16*$A$5,AH17*$A$6,AH18*$A$7,AH19*$A$8,AH20*$A$9)</f>
        <v/>
      </c>
      <c r="AJ21">
        <f>SUM(AJ12*$A$1,AJ13*$A$2,AJ14*$A$3,AJ15*$A$4,AJ16*$A$5,AJ17*$A$6,AJ18*$A$7,AJ19*$A$8,AJ20*$A$9)</f>
        <v/>
      </c>
      <c r="AK21">
        <f>SUM(AK12*$A$1,AK13*$A$2,AK14*$A$3,AK15*$A$4,AK16*$A$5,AK17*$A$6,AK18*$A$7,AK19*$A$8,AK20*$A$9)</f>
        <v/>
      </c>
      <c r="AL21">
        <f>SUM(AL12*$A$1,AL13*$A$2,AL14*$A$3,AL15*$A$4,AL16*$A$5,AL17*$A$6,AL18*$A$7,AL19*$A$8,AL20*$A$9)</f>
        <v/>
      </c>
      <c r="AM21">
        <f>SUM(AM12*$A$1,AM13*$A$2,AM14*$A$3,AM15*$A$4,AM16*$A$5,AM17*$A$6,AM18*$A$7,AM19*$A$8,AM20*$A$9)</f>
        <v/>
      </c>
      <c r="AN21">
        <f>SUM(AN12*$A$1,AN13*$A$2,AN14*$A$3,AN15*$A$4,AN16*$A$5,AN17*$A$6,AN18*$A$7,AN19*$A$8,AN20*$A$9)</f>
        <v/>
      </c>
      <c r="AO21">
        <f>SUM(AO12*$A$1,AO13*$A$2,AO14*$A$3,AO15*$A$4,AO16*$A$5,AO17*$A$6,AO18*$A$7,AO19*$A$8,AO20*$A$9)</f>
        <v/>
      </c>
      <c r="AP21">
        <f>SUM(AP12*$A$1,AP13*$A$2,AP14*$A$3,AP15*$A$4,AP16*$A$5,AP17*$A$6,AP18*$A$7,AP19*$A$8,AP20*$A$9)</f>
        <v/>
      </c>
      <c r="AQ21">
        <f>SUM(AQ12*$A$1,AQ13*$A$2,AQ14*$A$3,AQ15*$A$4,AQ16*$A$5,AQ17*$A$6,AQ18*$A$7,AQ19*$A$8,AQ20*$A$9)</f>
        <v/>
      </c>
      <c r="AR21">
        <f>SUM(AR12*$A$1,AR13*$A$2,AR14*$A$3,AR15*$A$4,AR16*$A$5,AR17*$A$6,AR18*$A$7,AR19*$A$8,AR20*$A$9)</f>
        <v/>
      </c>
      <c r="AT21">
        <f>SUM(AT12*$A$1,AT13*$A$2,AT14*$A$3,AT15*$A$4,AT16*$A$5,AT17*$A$6,AT18*$A$7,AT19*$A$8,AT20*$A$9)</f>
        <v/>
      </c>
      <c r="AU21">
        <f>SUM(AU12*$A$1,AU13*$A$2,AU14*$A$3,AU15*$A$4,AU16*$A$5,AU17*$A$6,AU18*$A$7,AU19*$A$8,AU20*$A$9)</f>
        <v/>
      </c>
      <c r="AV21">
        <f>SUM(AV12*$A$1,AV13*$A$2,AV14*$A$3,AV15*$A$4,AV16*$A$5,AV17*$A$6,AV18*$A$7,AV19*$A$8,AV20*$A$9)</f>
        <v/>
      </c>
      <c r="AW21">
        <f>SUM(AW12*$A$1,AW13*$A$2,AW14*$A$3,AW15*$A$4,AW16*$A$5,AW17*$A$6,AW18*$A$7,AW19*$A$8,AW20*$A$9)</f>
        <v/>
      </c>
      <c r="AX21">
        <f>SUM(AX12*$A$1,AX13*$A$2,AX14*$A$3,AX15*$A$4,AX16*$A$5,AX17*$A$6,AX18*$A$7,AX19*$A$8,AX20*$A$9)</f>
        <v/>
      </c>
      <c r="AY21">
        <f>SUM(AY12*$A$1,AY13*$A$2,AY14*$A$3,AY15*$A$4,AY16*$A$5,AY17*$A$6,AY18*$A$7,AY19*$A$8,AY20*$A$9)</f>
        <v/>
      </c>
      <c r="AZ21">
        <f>SUM(AZ12*$A$1,AZ13*$A$2,AZ14*$A$3,AZ15*$A$4,AZ16*$A$5,AZ17*$A$6,AZ18*$A$7,AZ19*$A$8,AZ20*$A$9)</f>
        <v/>
      </c>
      <c r="BA21">
        <f>SUM(BA12*$A$1,BA13*$A$2,BA14*$A$3,BA15*$A$4,BA16*$A$5,BA17*$A$6,BA18*$A$7,BA19*$A$8,BA20*$A$9)</f>
        <v/>
      </c>
      <c r="BB21">
        <f>SUM(BB12*$A$1,BB13*$A$2,BB14*$A$3,BB15*$A$4,BB16*$A$5,BB17*$A$6,BB18*$A$7,BB19*$A$8,BB20*$A$9)</f>
        <v/>
      </c>
    </row>
    <row r="22"/>
    <row r="23">
      <c r="F23">
        <f>_xlfn.HYPGEOM.DIST($A1,$C$3,'Benchmarks by Card Role'!D$2,99,FALSE)</f>
        <v/>
      </c>
      <c r="G23">
        <f>_xlfn.HYPGEOM.DIST($A1,$C$3,'Benchmarks by Card Role'!E$2,99,FALSE)</f>
        <v/>
      </c>
      <c r="H23">
        <f>_xlfn.HYPGEOM.DIST($A1,$C$3,'Benchmarks by Card Role'!F$2,99,FALSE)</f>
        <v/>
      </c>
      <c r="I23">
        <f>_xlfn.HYPGEOM.DIST($A1,$C$3,'Benchmarks by Card Role'!G$2,99,FALSE)</f>
        <v/>
      </c>
      <c r="J23">
        <f>_xlfn.HYPGEOM.DIST($A1,$C$3,'Benchmarks by Card Role'!H$2,99,FALSE)</f>
        <v/>
      </c>
      <c r="K23">
        <f>_xlfn.HYPGEOM.DIST($A1,$C$3,'Benchmarks by Card Role'!I$2,99,FALSE)</f>
        <v/>
      </c>
      <c r="L23">
        <f>_xlfn.HYPGEOM.DIST($A1,$C$3,'Benchmarks by Card Role'!J$2,99,FALSE)</f>
        <v/>
      </c>
      <c r="M23">
        <f>_xlfn.HYPGEOM.DIST($A1,$C$3,'Benchmarks by Card Role'!K$2,99,FALSE)</f>
        <v/>
      </c>
      <c r="N23">
        <f>_xlfn.HYPGEOM.DIST($A1,$C$3,'Benchmarks by Card Role'!L$2,99,FALSE)</f>
        <v/>
      </c>
      <c r="P23">
        <f>_xlfn.HYPGEOM.DIST($A1,$C$3,'Benchmarks by Card Role'!D$12,99,FALSE)</f>
        <v/>
      </c>
      <c r="Q23">
        <f>_xlfn.HYPGEOM.DIST($A1,$C$3,'Benchmarks by Card Role'!E$12,99,FALSE)</f>
        <v/>
      </c>
      <c r="R23">
        <f>_xlfn.HYPGEOM.DIST($A1,$C$3,'Benchmarks by Card Role'!F$12,99,FALSE)</f>
        <v/>
      </c>
      <c r="S23">
        <f>_xlfn.HYPGEOM.DIST($A1,$C$3,'Benchmarks by Card Role'!G$12,99,FALSE)</f>
        <v/>
      </c>
      <c r="T23">
        <f>_xlfn.HYPGEOM.DIST($A1,$C$3,'Benchmarks by Card Role'!H$12,99,FALSE)</f>
        <v/>
      </c>
      <c r="U23">
        <f>_xlfn.HYPGEOM.DIST($A1,$C$3,'Benchmarks by Card Role'!I$12,99,FALSE)</f>
        <v/>
      </c>
      <c r="V23">
        <f>_xlfn.HYPGEOM.DIST($A1,$C$3,'Benchmarks by Card Role'!J$12,99,FALSE)</f>
        <v/>
      </c>
      <c r="W23">
        <f>_xlfn.HYPGEOM.DIST($A1,$C$3,'Benchmarks by Card Role'!K$12,99,FALSE)</f>
        <v/>
      </c>
      <c r="X23">
        <f>_xlfn.HYPGEOM.DIST($A1,$C$3,'Benchmarks by Card Role'!L$12,99,FALSE)</f>
        <v/>
      </c>
      <c r="Z23">
        <f>_xlfn.HYPGEOM.DIST($A1,$C$3,'Benchmarks by Card Role'!D$22,99,FALSE)</f>
        <v/>
      </c>
      <c r="AA23">
        <f>_xlfn.HYPGEOM.DIST($A1,$C$3,'Benchmarks by Card Role'!E$22,99,FALSE)</f>
        <v/>
      </c>
      <c r="AB23">
        <f>_xlfn.HYPGEOM.DIST($A1,$C$3,'Benchmarks by Card Role'!F$22,99,FALSE)</f>
        <v/>
      </c>
      <c r="AC23">
        <f>_xlfn.HYPGEOM.DIST($A1,$C$3,'Benchmarks by Card Role'!G$22,99,FALSE)</f>
        <v/>
      </c>
      <c r="AD23">
        <f>_xlfn.HYPGEOM.DIST($A1,$C$3,'Benchmarks by Card Role'!H$22,99,FALSE)</f>
        <v/>
      </c>
      <c r="AE23">
        <f>_xlfn.HYPGEOM.DIST($A1,$C$3,'Benchmarks by Card Role'!I$22,99,FALSE)</f>
        <v/>
      </c>
      <c r="AF23">
        <f>_xlfn.HYPGEOM.DIST($A1,$C$3,'Benchmarks by Card Role'!J$22,99,FALSE)</f>
        <v/>
      </c>
      <c r="AG23">
        <f>_xlfn.HYPGEOM.DIST($A1,$C$3,'Benchmarks by Card Role'!K$22,99,FALSE)</f>
        <v/>
      </c>
      <c r="AH23">
        <f>_xlfn.HYPGEOM.DIST($A1,$C$3,'Benchmarks by Card Role'!L$22,99,FALSE)</f>
        <v/>
      </c>
      <c r="AJ23">
        <f>_xlfn.HYPGEOM.DIST($A1,$C$3,'Benchmarks by Card Role'!D$32,99,FALSE)</f>
        <v/>
      </c>
      <c r="AK23">
        <f>_xlfn.HYPGEOM.DIST($A1,$C$3,'Benchmarks by Card Role'!E$32,99,FALSE)</f>
        <v/>
      </c>
      <c r="AL23">
        <f>_xlfn.HYPGEOM.DIST($A1,$C$3,'Benchmarks by Card Role'!F$32,99,FALSE)</f>
        <v/>
      </c>
      <c r="AM23">
        <f>_xlfn.HYPGEOM.DIST($A1,$C$3,'Benchmarks by Card Role'!G$32,99,FALSE)</f>
        <v/>
      </c>
      <c r="AN23">
        <f>_xlfn.HYPGEOM.DIST($A1,$C$3,'Benchmarks by Card Role'!H$32,99,FALSE)</f>
        <v/>
      </c>
      <c r="AO23">
        <f>_xlfn.HYPGEOM.DIST($A1,$C$3,'Benchmarks by Card Role'!I$32,99,FALSE)</f>
        <v/>
      </c>
      <c r="AP23">
        <f>_xlfn.HYPGEOM.DIST($A1,$C$3,'Benchmarks by Card Role'!J$32,99,FALSE)</f>
        <v/>
      </c>
      <c r="AQ23">
        <f>_xlfn.HYPGEOM.DIST($A1,$C$3,'Benchmarks by Card Role'!K$32,99,FALSE)</f>
        <v/>
      </c>
      <c r="AR23">
        <f>_xlfn.HYPGEOM.DIST($A1,$C$3,'Benchmarks by Card Role'!L$32,99,FALSE)</f>
        <v/>
      </c>
      <c r="AT23">
        <f>_xlfn.HYPGEOM.DIST($A1,$C$3,'Benchmarks by Card Role'!D$42,99,FALSE)</f>
        <v/>
      </c>
      <c r="AU23">
        <f>_xlfn.HYPGEOM.DIST($A1,$C$3,'Benchmarks by Card Role'!E$42,99,FALSE)</f>
        <v/>
      </c>
      <c r="AV23">
        <f>_xlfn.HYPGEOM.DIST($A1,$C$3,'Benchmarks by Card Role'!F$42,99,FALSE)</f>
        <v/>
      </c>
      <c r="AW23">
        <f>_xlfn.HYPGEOM.DIST($A1,$C$3,'Benchmarks by Card Role'!G$42,99,FALSE)</f>
        <v/>
      </c>
      <c r="AX23">
        <f>_xlfn.HYPGEOM.DIST($A1,$C$3,'Benchmarks by Card Role'!H$42,99,FALSE)</f>
        <v/>
      </c>
      <c r="AY23">
        <f>_xlfn.HYPGEOM.DIST($A1,$C$3,'Benchmarks by Card Role'!I$42,99,FALSE)</f>
        <v/>
      </c>
      <c r="AZ23">
        <f>_xlfn.HYPGEOM.DIST($A1,$C$3,'Benchmarks by Card Role'!J$42,99,FALSE)</f>
        <v/>
      </c>
      <c r="BA23">
        <f>_xlfn.HYPGEOM.DIST($A1,$C$3,'Benchmarks by Card Role'!K$42,99,FALSE)</f>
        <v/>
      </c>
      <c r="BB23">
        <f>_xlfn.HYPGEOM.DIST($A1,$C$3,'Benchmarks by Card Role'!L$42,99,FALSE)</f>
        <v/>
      </c>
    </row>
    <row r="24">
      <c r="F24">
        <f>_xlfn.HYPGEOM.DIST($A2,$C$3,'Benchmarks by Card Role'!D$2,99,FALSE)</f>
        <v/>
      </c>
      <c r="G24">
        <f>_xlfn.HYPGEOM.DIST($A2,$C$3,'Benchmarks by Card Role'!E$2,99,FALSE)</f>
        <v/>
      </c>
      <c r="H24">
        <f>_xlfn.HYPGEOM.DIST($A2,$C$3,'Benchmarks by Card Role'!F$2,99,FALSE)</f>
        <v/>
      </c>
      <c r="I24">
        <f>_xlfn.HYPGEOM.DIST($A2,$C$3,'Benchmarks by Card Role'!G$2,99,FALSE)</f>
        <v/>
      </c>
      <c r="J24">
        <f>_xlfn.HYPGEOM.DIST($A2,$C$3,'Benchmarks by Card Role'!H$2,99,FALSE)</f>
        <v/>
      </c>
      <c r="K24">
        <f>_xlfn.HYPGEOM.DIST($A2,$C$3,'Benchmarks by Card Role'!I$2,99,FALSE)</f>
        <v/>
      </c>
      <c r="L24">
        <f>_xlfn.HYPGEOM.DIST($A2,$C$3,'Benchmarks by Card Role'!J$2,99,FALSE)</f>
        <v/>
      </c>
      <c r="M24">
        <f>_xlfn.HYPGEOM.DIST($A2,$C$3,'Benchmarks by Card Role'!K$2,99,FALSE)</f>
        <v/>
      </c>
      <c r="N24">
        <f>_xlfn.HYPGEOM.DIST($A2,$C$3,'Benchmarks by Card Role'!L$2,99,FALSE)</f>
        <v/>
      </c>
      <c r="P24">
        <f>_xlfn.HYPGEOM.DIST($A2,$C$3,'Benchmarks by Card Role'!D$12,99,FALSE)</f>
        <v/>
      </c>
      <c r="Q24">
        <f>_xlfn.HYPGEOM.DIST($A2,$C$3,'Benchmarks by Card Role'!E$12,99,FALSE)</f>
        <v/>
      </c>
      <c r="R24">
        <f>_xlfn.HYPGEOM.DIST($A2,$C$3,'Benchmarks by Card Role'!F$12,99,FALSE)</f>
        <v/>
      </c>
      <c r="S24">
        <f>_xlfn.HYPGEOM.DIST($A2,$C$3,'Benchmarks by Card Role'!G$12,99,FALSE)</f>
        <v/>
      </c>
      <c r="T24">
        <f>_xlfn.HYPGEOM.DIST($A2,$C$3,'Benchmarks by Card Role'!H$12,99,FALSE)</f>
        <v/>
      </c>
      <c r="U24">
        <f>_xlfn.HYPGEOM.DIST($A2,$C$3,'Benchmarks by Card Role'!I$12,99,FALSE)</f>
        <v/>
      </c>
      <c r="V24">
        <f>_xlfn.HYPGEOM.DIST($A2,$C$3,'Benchmarks by Card Role'!J$12,99,FALSE)</f>
        <v/>
      </c>
      <c r="W24">
        <f>_xlfn.HYPGEOM.DIST($A2,$C$3,'Benchmarks by Card Role'!K$12,99,FALSE)</f>
        <v/>
      </c>
      <c r="X24">
        <f>_xlfn.HYPGEOM.DIST($A2,$C$3,'Benchmarks by Card Role'!L$12,99,FALSE)</f>
        <v/>
      </c>
      <c r="Z24">
        <f>_xlfn.HYPGEOM.DIST($A2,$C$3,'Benchmarks by Card Role'!D$22,99,FALSE)</f>
        <v/>
      </c>
      <c r="AA24">
        <f>_xlfn.HYPGEOM.DIST($A2,$C$3,'Benchmarks by Card Role'!E$22,99,FALSE)</f>
        <v/>
      </c>
      <c r="AB24">
        <f>_xlfn.HYPGEOM.DIST($A2,$C$3,'Benchmarks by Card Role'!F$22,99,FALSE)</f>
        <v/>
      </c>
      <c r="AC24">
        <f>_xlfn.HYPGEOM.DIST($A2,$C$3,'Benchmarks by Card Role'!G$22,99,FALSE)</f>
        <v/>
      </c>
      <c r="AD24">
        <f>_xlfn.HYPGEOM.DIST($A2,$C$3,'Benchmarks by Card Role'!H$22,99,FALSE)</f>
        <v/>
      </c>
      <c r="AE24">
        <f>_xlfn.HYPGEOM.DIST($A2,$C$3,'Benchmarks by Card Role'!I$22,99,FALSE)</f>
        <v/>
      </c>
      <c r="AF24">
        <f>_xlfn.HYPGEOM.DIST($A2,$C$3,'Benchmarks by Card Role'!J$22,99,FALSE)</f>
        <v/>
      </c>
      <c r="AG24">
        <f>_xlfn.HYPGEOM.DIST($A2,$C$3,'Benchmarks by Card Role'!K$22,99,FALSE)</f>
        <v/>
      </c>
      <c r="AH24">
        <f>_xlfn.HYPGEOM.DIST($A2,$C$3,'Benchmarks by Card Role'!L$22,99,FALSE)</f>
        <v/>
      </c>
      <c r="AJ24">
        <f>_xlfn.HYPGEOM.DIST($A2,$C$3,'Benchmarks by Card Role'!D$32,99,FALSE)</f>
        <v/>
      </c>
      <c r="AK24">
        <f>_xlfn.HYPGEOM.DIST($A2,$C$3,'Benchmarks by Card Role'!E$32,99,FALSE)</f>
        <v/>
      </c>
      <c r="AL24">
        <f>_xlfn.HYPGEOM.DIST($A2,$C$3,'Benchmarks by Card Role'!F$32,99,FALSE)</f>
        <v/>
      </c>
      <c r="AM24">
        <f>_xlfn.HYPGEOM.DIST($A2,$C$3,'Benchmarks by Card Role'!G$32,99,FALSE)</f>
        <v/>
      </c>
      <c r="AN24">
        <f>_xlfn.HYPGEOM.DIST($A2,$C$3,'Benchmarks by Card Role'!H$32,99,FALSE)</f>
        <v/>
      </c>
      <c r="AO24">
        <f>_xlfn.HYPGEOM.DIST($A2,$C$3,'Benchmarks by Card Role'!I$32,99,FALSE)</f>
        <v/>
      </c>
      <c r="AP24">
        <f>_xlfn.HYPGEOM.DIST($A2,$C$3,'Benchmarks by Card Role'!J$32,99,FALSE)</f>
        <v/>
      </c>
      <c r="AQ24">
        <f>_xlfn.HYPGEOM.DIST($A2,$C$3,'Benchmarks by Card Role'!K$32,99,FALSE)</f>
        <v/>
      </c>
      <c r="AR24">
        <f>_xlfn.HYPGEOM.DIST($A2,$C$3,'Benchmarks by Card Role'!L$32,99,FALSE)</f>
        <v/>
      </c>
      <c r="AT24">
        <f>_xlfn.HYPGEOM.DIST($A2,$C$3,'Benchmarks by Card Role'!D$42,99,FALSE)</f>
        <v/>
      </c>
      <c r="AU24">
        <f>_xlfn.HYPGEOM.DIST($A2,$C$3,'Benchmarks by Card Role'!E$42,99,FALSE)</f>
        <v/>
      </c>
      <c r="AV24">
        <f>_xlfn.HYPGEOM.DIST($A2,$C$3,'Benchmarks by Card Role'!F$42,99,FALSE)</f>
        <v/>
      </c>
      <c r="AW24">
        <f>_xlfn.HYPGEOM.DIST($A2,$C$3,'Benchmarks by Card Role'!G$42,99,FALSE)</f>
        <v/>
      </c>
      <c r="AX24">
        <f>_xlfn.HYPGEOM.DIST($A2,$C$3,'Benchmarks by Card Role'!H$42,99,FALSE)</f>
        <v/>
      </c>
      <c r="AY24">
        <f>_xlfn.HYPGEOM.DIST($A2,$C$3,'Benchmarks by Card Role'!I$42,99,FALSE)</f>
        <v/>
      </c>
      <c r="AZ24">
        <f>_xlfn.HYPGEOM.DIST($A2,$C$3,'Benchmarks by Card Role'!J$42,99,FALSE)</f>
        <v/>
      </c>
      <c r="BA24">
        <f>_xlfn.HYPGEOM.DIST($A2,$C$3,'Benchmarks by Card Role'!K$42,99,FALSE)</f>
        <v/>
      </c>
      <c r="BB24">
        <f>_xlfn.HYPGEOM.DIST($A2,$C$3,'Benchmarks by Card Role'!L$42,99,FALSE)</f>
        <v/>
      </c>
    </row>
    <row r="25">
      <c r="F25">
        <f>_xlfn.HYPGEOM.DIST($A3,$C$3,'Benchmarks by Card Role'!D$2,99,FALSE)</f>
        <v/>
      </c>
      <c r="G25">
        <f>_xlfn.HYPGEOM.DIST($A3,$C$3,'Benchmarks by Card Role'!E$2,99,FALSE)</f>
        <v/>
      </c>
      <c r="H25">
        <f>_xlfn.HYPGEOM.DIST($A3,$C$3,'Benchmarks by Card Role'!F$2,99,FALSE)</f>
        <v/>
      </c>
      <c r="I25">
        <f>_xlfn.HYPGEOM.DIST($A3,$C$3,'Benchmarks by Card Role'!G$2,99,FALSE)</f>
        <v/>
      </c>
      <c r="J25">
        <f>_xlfn.HYPGEOM.DIST($A3,$C$3,'Benchmarks by Card Role'!H$2,99,FALSE)</f>
        <v/>
      </c>
      <c r="K25">
        <f>_xlfn.HYPGEOM.DIST($A3,$C$3,'Benchmarks by Card Role'!I$2,99,FALSE)</f>
        <v/>
      </c>
      <c r="L25">
        <f>_xlfn.HYPGEOM.DIST($A3,$C$3,'Benchmarks by Card Role'!J$2,99,FALSE)</f>
        <v/>
      </c>
      <c r="M25">
        <f>_xlfn.HYPGEOM.DIST($A3,$C$3,'Benchmarks by Card Role'!K$2,99,FALSE)</f>
        <v/>
      </c>
      <c r="N25">
        <f>_xlfn.HYPGEOM.DIST($A3,$C$3,'Benchmarks by Card Role'!L$2,99,FALSE)</f>
        <v/>
      </c>
      <c r="P25">
        <f>_xlfn.HYPGEOM.DIST($A3,$C$3,'Benchmarks by Card Role'!D$12,99,FALSE)</f>
        <v/>
      </c>
      <c r="Q25">
        <f>_xlfn.HYPGEOM.DIST($A3,$C$3,'Benchmarks by Card Role'!E$12,99,FALSE)</f>
        <v/>
      </c>
      <c r="R25">
        <f>_xlfn.HYPGEOM.DIST($A3,$C$3,'Benchmarks by Card Role'!F$12,99,FALSE)</f>
        <v/>
      </c>
      <c r="S25">
        <f>_xlfn.HYPGEOM.DIST($A3,$C$3,'Benchmarks by Card Role'!G$12,99,FALSE)</f>
        <v/>
      </c>
      <c r="T25">
        <f>_xlfn.HYPGEOM.DIST($A3,$C$3,'Benchmarks by Card Role'!H$12,99,FALSE)</f>
        <v/>
      </c>
      <c r="U25">
        <f>_xlfn.HYPGEOM.DIST($A3,$C$3,'Benchmarks by Card Role'!I$12,99,FALSE)</f>
        <v/>
      </c>
      <c r="V25">
        <f>_xlfn.HYPGEOM.DIST($A3,$C$3,'Benchmarks by Card Role'!J$12,99,FALSE)</f>
        <v/>
      </c>
      <c r="W25">
        <f>_xlfn.HYPGEOM.DIST($A3,$C$3,'Benchmarks by Card Role'!K$12,99,FALSE)</f>
        <v/>
      </c>
      <c r="X25">
        <f>_xlfn.HYPGEOM.DIST($A3,$C$3,'Benchmarks by Card Role'!L$12,99,FALSE)</f>
        <v/>
      </c>
      <c r="Z25">
        <f>_xlfn.HYPGEOM.DIST($A3,$C$3,'Benchmarks by Card Role'!D$22,99,FALSE)</f>
        <v/>
      </c>
      <c r="AA25">
        <f>_xlfn.HYPGEOM.DIST($A3,$C$3,'Benchmarks by Card Role'!E$22,99,FALSE)</f>
        <v/>
      </c>
      <c r="AB25">
        <f>_xlfn.HYPGEOM.DIST($A3,$C$3,'Benchmarks by Card Role'!F$22,99,FALSE)</f>
        <v/>
      </c>
      <c r="AC25">
        <f>_xlfn.HYPGEOM.DIST($A3,$C$3,'Benchmarks by Card Role'!G$22,99,FALSE)</f>
        <v/>
      </c>
      <c r="AD25">
        <f>_xlfn.HYPGEOM.DIST($A3,$C$3,'Benchmarks by Card Role'!H$22,99,FALSE)</f>
        <v/>
      </c>
      <c r="AE25">
        <f>_xlfn.HYPGEOM.DIST($A3,$C$3,'Benchmarks by Card Role'!I$22,99,FALSE)</f>
        <v/>
      </c>
      <c r="AF25">
        <f>_xlfn.HYPGEOM.DIST($A3,$C$3,'Benchmarks by Card Role'!J$22,99,FALSE)</f>
        <v/>
      </c>
      <c r="AG25">
        <f>_xlfn.HYPGEOM.DIST($A3,$C$3,'Benchmarks by Card Role'!K$22,99,FALSE)</f>
        <v/>
      </c>
      <c r="AH25">
        <f>_xlfn.HYPGEOM.DIST($A3,$C$3,'Benchmarks by Card Role'!L$22,99,FALSE)</f>
        <v/>
      </c>
      <c r="AJ25">
        <f>_xlfn.HYPGEOM.DIST($A3,$C$3,'Benchmarks by Card Role'!D$32,99,FALSE)</f>
        <v/>
      </c>
      <c r="AK25">
        <f>_xlfn.HYPGEOM.DIST($A3,$C$3,'Benchmarks by Card Role'!E$32,99,FALSE)</f>
        <v/>
      </c>
      <c r="AL25">
        <f>_xlfn.HYPGEOM.DIST($A3,$C$3,'Benchmarks by Card Role'!F$32,99,FALSE)</f>
        <v/>
      </c>
      <c r="AM25">
        <f>_xlfn.HYPGEOM.DIST($A3,$C$3,'Benchmarks by Card Role'!G$32,99,FALSE)</f>
        <v/>
      </c>
      <c r="AN25">
        <f>_xlfn.HYPGEOM.DIST($A3,$C$3,'Benchmarks by Card Role'!H$32,99,FALSE)</f>
        <v/>
      </c>
      <c r="AO25">
        <f>_xlfn.HYPGEOM.DIST($A3,$C$3,'Benchmarks by Card Role'!I$32,99,FALSE)</f>
        <v/>
      </c>
      <c r="AP25">
        <f>_xlfn.HYPGEOM.DIST($A3,$C$3,'Benchmarks by Card Role'!J$32,99,FALSE)</f>
        <v/>
      </c>
      <c r="AQ25">
        <f>_xlfn.HYPGEOM.DIST($A3,$C$3,'Benchmarks by Card Role'!K$32,99,FALSE)</f>
        <v/>
      </c>
      <c r="AR25">
        <f>_xlfn.HYPGEOM.DIST($A3,$C$3,'Benchmarks by Card Role'!L$32,99,FALSE)</f>
        <v/>
      </c>
      <c r="AT25">
        <f>_xlfn.HYPGEOM.DIST($A3,$C$3,'Benchmarks by Card Role'!D$42,99,FALSE)</f>
        <v/>
      </c>
      <c r="AU25">
        <f>_xlfn.HYPGEOM.DIST($A3,$C$3,'Benchmarks by Card Role'!E$42,99,FALSE)</f>
        <v/>
      </c>
      <c r="AV25">
        <f>_xlfn.HYPGEOM.DIST($A3,$C$3,'Benchmarks by Card Role'!F$42,99,FALSE)</f>
        <v/>
      </c>
      <c r="AW25">
        <f>_xlfn.HYPGEOM.DIST($A3,$C$3,'Benchmarks by Card Role'!G$42,99,FALSE)</f>
        <v/>
      </c>
      <c r="AX25">
        <f>_xlfn.HYPGEOM.DIST($A3,$C$3,'Benchmarks by Card Role'!H$42,99,FALSE)</f>
        <v/>
      </c>
      <c r="AY25">
        <f>_xlfn.HYPGEOM.DIST($A3,$C$3,'Benchmarks by Card Role'!I$42,99,FALSE)</f>
        <v/>
      </c>
      <c r="AZ25">
        <f>_xlfn.HYPGEOM.DIST($A3,$C$3,'Benchmarks by Card Role'!J$42,99,FALSE)</f>
        <v/>
      </c>
      <c r="BA25">
        <f>_xlfn.HYPGEOM.DIST($A3,$C$3,'Benchmarks by Card Role'!K$42,99,FALSE)</f>
        <v/>
      </c>
      <c r="BB25">
        <f>_xlfn.HYPGEOM.DIST($A3,$C$3,'Benchmarks by Card Role'!L$42,99,FALSE)</f>
        <v/>
      </c>
    </row>
    <row r="26">
      <c r="F26">
        <f>_xlfn.HYPGEOM.DIST($A4,$C$3,'Benchmarks by Card Role'!D$2,99,FALSE)</f>
        <v/>
      </c>
      <c r="G26">
        <f>_xlfn.HYPGEOM.DIST($A4,$C$3,'Benchmarks by Card Role'!E$2,99,FALSE)</f>
        <v/>
      </c>
      <c r="H26">
        <f>_xlfn.HYPGEOM.DIST($A4,$C$3,'Benchmarks by Card Role'!F$2,99,FALSE)</f>
        <v/>
      </c>
      <c r="I26">
        <f>_xlfn.HYPGEOM.DIST($A4,$C$3,'Benchmarks by Card Role'!G$2,99,FALSE)</f>
        <v/>
      </c>
      <c r="J26">
        <f>_xlfn.HYPGEOM.DIST($A4,$C$3,'Benchmarks by Card Role'!H$2,99,FALSE)</f>
        <v/>
      </c>
      <c r="K26">
        <f>_xlfn.HYPGEOM.DIST($A4,$C$3,'Benchmarks by Card Role'!I$2,99,FALSE)</f>
        <v/>
      </c>
      <c r="L26">
        <f>_xlfn.HYPGEOM.DIST($A4,$C$3,'Benchmarks by Card Role'!J$2,99,FALSE)</f>
        <v/>
      </c>
      <c r="M26">
        <f>_xlfn.HYPGEOM.DIST($A4,$C$3,'Benchmarks by Card Role'!K$2,99,FALSE)</f>
        <v/>
      </c>
      <c r="N26">
        <f>_xlfn.HYPGEOM.DIST($A4,$C$3,'Benchmarks by Card Role'!L$2,99,FALSE)</f>
        <v/>
      </c>
      <c r="P26">
        <f>_xlfn.HYPGEOM.DIST($A4,$C$3,'Benchmarks by Card Role'!D$12,99,FALSE)</f>
        <v/>
      </c>
      <c r="Q26">
        <f>_xlfn.HYPGEOM.DIST($A4,$C$3,'Benchmarks by Card Role'!E$12,99,FALSE)</f>
        <v/>
      </c>
      <c r="R26">
        <f>_xlfn.HYPGEOM.DIST($A4,$C$3,'Benchmarks by Card Role'!F$12,99,FALSE)</f>
        <v/>
      </c>
      <c r="S26">
        <f>_xlfn.HYPGEOM.DIST($A4,$C$3,'Benchmarks by Card Role'!G$12,99,FALSE)</f>
        <v/>
      </c>
      <c r="T26">
        <f>_xlfn.HYPGEOM.DIST($A4,$C$3,'Benchmarks by Card Role'!H$12,99,FALSE)</f>
        <v/>
      </c>
      <c r="U26">
        <f>_xlfn.HYPGEOM.DIST($A4,$C$3,'Benchmarks by Card Role'!I$12,99,FALSE)</f>
        <v/>
      </c>
      <c r="V26">
        <f>_xlfn.HYPGEOM.DIST($A4,$C$3,'Benchmarks by Card Role'!J$12,99,FALSE)</f>
        <v/>
      </c>
      <c r="W26">
        <f>_xlfn.HYPGEOM.DIST($A4,$C$3,'Benchmarks by Card Role'!K$12,99,FALSE)</f>
        <v/>
      </c>
      <c r="X26">
        <f>_xlfn.HYPGEOM.DIST($A4,$C$3,'Benchmarks by Card Role'!L$12,99,FALSE)</f>
        <v/>
      </c>
      <c r="Z26">
        <f>_xlfn.HYPGEOM.DIST($A4,$C$3,'Benchmarks by Card Role'!D$22,99,FALSE)</f>
        <v/>
      </c>
      <c r="AA26">
        <f>_xlfn.HYPGEOM.DIST($A4,$C$3,'Benchmarks by Card Role'!E$22,99,FALSE)</f>
        <v/>
      </c>
      <c r="AB26">
        <f>_xlfn.HYPGEOM.DIST($A4,$C$3,'Benchmarks by Card Role'!F$22,99,FALSE)</f>
        <v/>
      </c>
      <c r="AC26">
        <f>_xlfn.HYPGEOM.DIST($A4,$C$3,'Benchmarks by Card Role'!G$22,99,FALSE)</f>
        <v/>
      </c>
      <c r="AD26">
        <f>_xlfn.HYPGEOM.DIST($A4,$C$3,'Benchmarks by Card Role'!H$22,99,FALSE)</f>
        <v/>
      </c>
      <c r="AE26">
        <f>_xlfn.HYPGEOM.DIST($A4,$C$3,'Benchmarks by Card Role'!I$22,99,FALSE)</f>
        <v/>
      </c>
      <c r="AF26">
        <f>_xlfn.HYPGEOM.DIST($A4,$C$3,'Benchmarks by Card Role'!J$22,99,FALSE)</f>
        <v/>
      </c>
      <c r="AG26">
        <f>_xlfn.HYPGEOM.DIST($A4,$C$3,'Benchmarks by Card Role'!K$22,99,FALSE)</f>
        <v/>
      </c>
      <c r="AH26">
        <f>_xlfn.HYPGEOM.DIST($A4,$C$3,'Benchmarks by Card Role'!L$22,99,FALSE)</f>
        <v/>
      </c>
      <c r="AJ26">
        <f>_xlfn.HYPGEOM.DIST($A4,$C$3,'Benchmarks by Card Role'!D$32,99,FALSE)</f>
        <v/>
      </c>
      <c r="AK26">
        <f>_xlfn.HYPGEOM.DIST($A4,$C$3,'Benchmarks by Card Role'!E$32,99,FALSE)</f>
        <v/>
      </c>
      <c r="AL26">
        <f>_xlfn.HYPGEOM.DIST($A4,$C$3,'Benchmarks by Card Role'!F$32,99,FALSE)</f>
        <v/>
      </c>
      <c r="AM26">
        <f>_xlfn.HYPGEOM.DIST($A4,$C$3,'Benchmarks by Card Role'!G$32,99,FALSE)</f>
        <v/>
      </c>
      <c r="AN26">
        <f>_xlfn.HYPGEOM.DIST($A4,$C$3,'Benchmarks by Card Role'!H$32,99,FALSE)</f>
        <v/>
      </c>
      <c r="AO26">
        <f>_xlfn.HYPGEOM.DIST($A4,$C$3,'Benchmarks by Card Role'!I$32,99,FALSE)</f>
        <v/>
      </c>
      <c r="AP26">
        <f>_xlfn.HYPGEOM.DIST($A4,$C$3,'Benchmarks by Card Role'!J$32,99,FALSE)</f>
        <v/>
      </c>
      <c r="AQ26">
        <f>_xlfn.HYPGEOM.DIST($A4,$C$3,'Benchmarks by Card Role'!K$32,99,FALSE)</f>
        <v/>
      </c>
      <c r="AR26">
        <f>_xlfn.HYPGEOM.DIST($A4,$C$3,'Benchmarks by Card Role'!L$32,99,FALSE)</f>
        <v/>
      </c>
      <c r="AT26">
        <f>_xlfn.HYPGEOM.DIST($A4,$C$3,'Benchmarks by Card Role'!D$42,99,FALSE)</f>
        <v/>
      </c>
      <c r="AU26">
        <f>_xlfn.HYPGEOM.DIST($A4,$C$3,'Benchmarks by Card Role'!E$42,99,FALSE)</f>
        <v/>
      </c>
      <c r="AV26">
        <f>_xlfn.HYPGEOM.DIST($A4,$C$3,'Benchmarks by Card Role'!F$42,99,FALSE)</f>
        <v/>
      </c>
      <c r="AW26">
        <f>_xlfn.HYPGEOM.DIST($A4,$C$3,'Benchmarks by Card Role'!G$42,99,FALSE)</f>
        <v/>
      </c>
      <c r="AX26">
        <f>_xlfn.HYPGEOM.DIST($A4,$C$3,'Benchmarks by Card Role'!H$42,99,FALSE)</f>
        <v/>
      </c>
      <c r="AY26">
        <f>_xlfn.HYPGEOM.DIST($A4,$C$3,'Benchmarks by Card Role'!I$42,99,FALSE)</f>
        <v/>
      </c>
      <c r="AZ26">
        <f>_xlfn.HYPGEOM.DIST($A4,$C$3,'Benchmarks by Card Role'!J$42,99,FALSE)</f>
        <v/>
      </c>
      <c r="BA26">
        <f>_xlfn.HYPGEOM.DIST($A4,$C$3,'Benchmarks by Card Role'!K$42,99,FALSE)</f>
        <v/>
      </c>
      <c r="BB26">
        <f>_xlfn.HYPGEOM.DIST($A4,$C$3,'Benchmarks by Card Role'!L$42,99,FALSE)</f>
        <v/>
      </c>
    </row>
    <row r="27">
      <c r="F27">
        <f>_xlfn.HYPGEOM.DIST($A5,$C$3,'Benchmarks by Card Role'!D$2,99,FALSE)</f>
        <v/>
      </c>
      <c r="G27">
        <f>_xlfn.HYPGEOM.DIST($A5,$C$3,'Benchmarks by Card Role'!E$2,99,FALSE)</f>
        <v/>
      </c>
      <c r="H27">
        <f>_xlfn.HYPGEOM.DIST($A5,$C$3,'Benchmarks by Card Role'!F$2,99,FALSE)</f>
        <v/>
      </c>
      <c r="I27">
        <f>_xlfn.HYPGEOM.DIST($A5,$C$3,'Benchmarks by Card Role'!G$2,99,FALSE)</f>
        <v/>
      </c>
      <c r="J27">
        <f>_xlfn.HYPGEOM.DIST($A5,$C$3,'Benchmarks by Card Role'!H$2,99,FALSE)</f>
        <v/>
      </c>
      <c r="K27">
        <f>_xlfn.HYPGEOM.DIST($A5,$C$3,'Benchmarks by Card Role'!I$2,99,FALSE)</f>
        <v/>
      </c>
      <c r="L27">
        <f>_xlfn.HYPGEOM.DIST($A5,$C$3,'Benchmarks by Card Role'!J$2,99,FALSE)</f>
        <v/>
      </c>
      <c r="M27">
        <f>_xlfn.HYPGEOM.DIST($A5,$C$3,'Benchmarks by Card Role'!K$2,99,FALSE)</f>
        <v/>
      </c>
      <c r="N27">
        <f>_xlfn.HYPGEOM.DIST($A5,$C$3,'Benchmarks by Card Role'!L$2,99,FALSE)</f>
        <v/>
      </c>
      <c r="P27">
        <f>_xlfn.HYPGEOM.DIST($A5,$C$3,'Benchmarks by Card Role'!D$12,99,FALSE)</f>
        <v/>
      </c>
      <c r="Q27">
        <f>_xlfn.HYPGEOM.DIST($A5,$C$3,'Benchmarks by Card Role'!E$12,99,FALSE)</f>
        <v/>
      </c>
      <c r="R27">
        <f>_xlfn.HYPGEOM.DIST($A5,$C$3,'Benchmarks by Card Role'!F$12,99,FALSE)</f>
        <v/>
      </c>
      <c r="S27">
        <f>_xlfn.HYPGEOM.DIST($A5,$C$3,'Benchmarks by Card Role'!G$12,99,FALSE)</f>
        <v/>
      </c>
      <c r="T27">
        <f>_xlfn.HYPGEOM.DIST($A5,$C$3,'Benchmarks by Card Role'!H$12,99,FALSE)</f>
        <v/>
      </c>
      <c r="U27">
        <f>_xlfn.HYPGEOM.DIST($A5,$C$3,'Benchmarks by Card Role'!I$12,99,FALSE)</f>
        <v/>
      </c>
      <c r="V27">
        <f>_xlfn.HYPGEOM.DIST($A5,$C$3,'Benchmarks by Card Role'!J$12,99,FALSE)</f>
        <v/>
      </c>
      <c r="W27">
        <f>_xlfn.HYPGEOM.DIST($A5,$C$3,'Benchmarks by Card Role'!K$12,99,FALSE)</f>
        <v/>
      </c>
      <c r="X27">
        <f>_xlfn.HYPGEOM.DIST($A5,$C$3,'Benchmarks by Card Role'!L$12,99,FALSE)</f>
        <v/>
      </c>
      <c r="Z27">
        <f>_xlfn.HYPGEOM.DIST($A5,$C$3,'Benchmarks by Card Role'!D$22,99,FALSE)</f>
        <v/>
      </c>
      <c r="AA27">
        <f>_xlfn.HYPGEOM.DIST($A5,$C$3,'Benchmarks by Card Role'!E$22,99,FALSE)</f>
        <v/>
      </c>
      <c r="AB27">
        <f>_xlfn.HYPGEOM.DIST($A5,$C$3,'Benchmarks by Card Role'!F$22,99,FALSE)</f>
        <v/>
      </c>
      <c r="AC27">
        <f>_xlfn.HYPGEOM.DIST($A5,$C$3,'Benchmarks by Card Role'!G$22,99,FALSE)</f>
        <v/>
      </c>
      <c r="AD27">
        <f>_xlfn.HYPGEOM.DIST($A5,$C$3,'Benchmarks by Card Role'!H$22,99,FALSE)</f>
        <v/>
      </c>
      <c r="AE27">
        <f>_xlfn.HYPGEOM.DIST($A5,$C$3,'Benchmarks by Card Role'!I$22,99,FALSE)</f>
        <v/>
      </c>
      <c r="AF27">
        <f>_xlfn.HYPGEOM.DIST($A5,$C$3,'Benchmarks by Card Role'!J$22,99,FALSE)</f>
        <v/>
      </c>
      <c r="AG27">
        <f>_xlfn.HYPGEOM.DIST($A5,$C$3,'Benchmarks by Card Role'!K$22,99,FALSE)</f>
        <v/>
      </c>
      <c r="AH27">
        <f>_xlfn.HYPGEOM.DIST($A5,$C$3,'Benchmarks by Card Role'!L$22,99,FALSE)</f>
        <v/>
      </c>
      <c r="AJ27">
        <f>_xlfn.HYPGEOM.DIST($A5,$C$3,'Benchmarks by Card Role'!D$32,99,FALSE)</f>
        <v/>
      </c>
      <c r="AK27">
        <f>_xlfn.HYPGEOM.DIST($A5,$C$3,'Benchmarks by Card Role'!E$32,99,FALSE)</f>
        <v/>
      </c>
      <c r="AL27">
        <f>_xlfn.HYPGEOM.DIST($A5,$C$3,'Benchmarks by Card Role'!F$32,99,FALSE)</f>
        <v/>
      </c>
      <c r="AM27">
        <f>_xlfn.HYPGEOM.DIST($A5,$C$3,'Benchmarks by Card Role'!G$32,99,FALSE)</f>
        <v/>
      </c>
      <c r="AN27">
        <f>_xlfn.HYPGEOM.DIST($A5,$C$3,'Benchmarks by Card Role'!H$32,99,FALSE)</f>
        <v/>
      </c>
      <c r="AO27">
        <f>_xlfn.HYPGEOM.DIST($A5,$C$3,'Benchmarks by Card Role'!I$32,99,FALSE)</f>
        <v/>
      </c>
      <c r="AP27">
        <f>_xlfn.HYPGEOM.DIST($A5,$C$3,'Benchmarks by Card Role'!J$32,99,FALSE)</f>
        <v/>
      </c>
      <c r="AQ27">
        <f>_xlfn.HYPGEOM.DIST($A5,$C$3,'Benchmarks by Card Role'!K$32,99,FALSE)</f>
        <v/>
      </c>
      <c r="AR27">
        <f>_xlfn.HYPGEOM.DIST($A5,$C$3,'Benchmarks by Card Role'!L$32,99,FALSE)</f>
        <v/>
      </c>
      <c r="AT27">
        <f>_xlfn.HYPGEOM.DIST($A5,$C$3,'Benchmarks by Card Role'!D$42,99,FALSE)</f>
        <v/>
      </c>
      <c r="AU27">
        <f>_xlfn.HYPGEOM.DIST($A5,$C$3,'Benchmarks by Card Role'!E$42,99,FALSE)</f>
        <v/>
      </c>
      <c r="AV27">
        <f>_xlfn.HYPGEOM.DIST($A5,$C$3,'Benchmarks by Card Role'!F$42,99,FALSE)</f>
        <v/>
      </c>
      <c r="AW27">
        <f>_xlfn.HYPGEOM.DIST($A5,$C$3,'Benchmarks by Card Role'!G$42,99,FALSE)</f>
        <v/>
      </c>
      <c r="AX27">
        <f>_xlfn.HYPGEOM.DIST($A5,$C$3,'Benchmarks by Card Role'!H$42,99,FALSE)</f>
        <v/>
      </c>
      <c r="AY27">
        <f>_xlfn.HYPGEOM.DIST($A5,$C$3,'Benchmarks by Card Role'!I$42,99,FALSE)</f>
        <v/>
      </c>
      <c r="AZ27">
        <f>_xlfn.HYPGEOM.DIST($A5,$C$3,'Benchmarks by Card Role'!J$42,99,FALSE)</f>
        <v/>
      </c>
      <c r="BA27">
        <f>_xlfn.HYPGEOM.DIST($A5,$C$3,'Benchmarks by Card Role'!K$42,99,FALSE)</f>
        <v/>
      </c>
      <c r="BB27">
        <f>_xlfn.HYPGEOM.DIST($A5,$C$3,'Benchmarks by Card Role'!L$42,99,FALSE)</f>
        <v/>
      </c>
    </row>
    <row r="28">
      <c r="F28">
        <f>_xlfn.HYPGEOM.DIST($A6,$C$3,'Benchmarks by Card Role'!D$2,99,FALSE)</f>
        <v/>
      </c>
      <c r="G28">
        <f>_xlfn.HYPGEOM.DIST($A6,$C$3,'Benchmarks by Card Role'!E$2,99,FALSE)</f>
        <v/>
      </c>
      <c r="H28">
        <f>_xlfn.HYPGEOM.DIST($A6,$C$3,'Benchmarks by Card Role'!F$2,99,FALSE)</f>
        <v/>
      </c>
      <c r="I28">
        <f>_xlfn.HYPGEOM.DIST($A6,$C$3,'Benchmarks by Card Role'!G$2,99,FALSE)</f>
        <v/>
      </c>
      <c r="J28">
        <f>_xlfn.HYPGEOM.DIST($A6,$C$3,'Benchmarks by Card Role'!H$2,99,FALSE)</f>
        <v/>
      </c>
      <c r="K28">
        <f>_xlfn.HYPGEOM.DIST($A6,$C$3,'Benchmarks by Card Role'!I$2,99,FALSE)</f>
        <v/>
      </c>
      <c r="L28">
        <f>_xlfn.HYPGEOM.DIST($A6,$C$3,'Benchmarks by Card Role'!J$2,99,FALSE)</f>
        <v/>
      </c>
      <c r="M28">
        <f>_xlfn.HYPGEOM.DIST($A6,$C$3,'Benchmarks by Card Role'!K$2,99,FALSE)</f>
        <v/>
      </c>
      <c r="N28">
        <f>_xlfn.HYPGEOM.DIST($A6,$C$3,'Benchmarks by Card Role'!L$2,99,FALSE)</f>
        <v/>
      </c>
      <c r="P28">
        <f>_xlfn.HYPGEOM.DIST($A6,$C$3,'Benchmarks by Card Role'!D$12,99,FALSE)</f>
        <v/>
      </c>
      <c r="Q28">
        <f>_xlfn.HYPGEOM.DIST($A6,$C$3,'Benchmarks by Card Role'!E$12,99,FALSE)</f>
        <v/>
      </c>
      <c r="R28">
        <f>_xlfn.HYPGEOM.DIST($A6,$C$3,'Benchmarks by Card Role'!F$12,99,FALSE)</f>
        <v/>
      </c>
      <c r="S28">
        <f>_xlfn.HYPGEOM.DIST($A6,$C$3,'Benchmarks by Card Role'!G$12,99,FALSE)</f>
        <v/>
      </c>
      <c r="T28">
        <f>_xlfn.HYPGEOM.DIST($A6,$C$3,'Benchmarks by Card Role'!H$12,99,FALSE)</f>
        <v/>
      </c>
      <c r="U28">
        <f>_xlfn.HYPGEOM.DIST($A6,$C$3,'Benchmarks by Card Role'!I$12,99,FALSE)</f>
        <v/>
      </c>
      <c r="V28">
        <f>_xlfn.HYPGEOM.DIST($A6,$C$3,'Benchmarks by Card Role'!J$12,99,FALSE)</f>
        <v/>
      </c>
      <c r="W28">
        <f>_xlfn.HYPGEOM.DIST($A6,$C$3,'Benchmarks by Card Role'!K$12,99,FALSE)</f>
        <v/>
      </c>
      <c r="X28">
        <f>_xlfn.HYPGEOM.DIST($A6,$C$3,'Benchmarks by Card Role'!L$12,99,FALSE)</f>
        <v/>
      </c>
      <c r="Z28">
        <f>_xlfn.HYPGEOM.DIST($A6,$C$3,'Benchmarks by Card Role'!D$22,99,FALSE)</f>
        <v/>
      </c>
      <c r="AA28">
        <f>_xlfn.HYPGEOM.DIST($A6,$C$3,'Benchmarks by Card Role'!E$22,99,FALSE)</f>
        <v/>
      </c>
      <c r="AB28">
        <f>_xlfn.HYPGEOM.DIST($A6,$C$3,'Benchmarks by Card Role'!F$22,99,FALSE)</f>
        <v/>
      </c>
      <c r="AC28">
        <f>_xlfn.HYPGEOM.DIST($A6,$C$3,'Benchmarks by Card Role'!G$22,99,FALSE)</f>
        <v/>
      </c>
      <c r="AD28">
        <f>_xlfn.HYPGEOM.DIST($A6,$C$3,'Benchmarks by Card Role'!H$22,99,FALSE)</f>
        <v/>
      </c>
      <c r="AE28">
        <f>_xlfn.HYPGEOM.DIST($A6,$C$3,'Benchmarks by Card Role'!I$22,99,FALSE)</f>
        <v/>
      </c>
      <c r="AF28">
        <f>_xlfn.HYPGEOM.DIST($A6,$C$3,'Benchmarks by Card Role'!J$22,99,FALSE)</f>
        <v/>
      </c>
      <c r="AG28">
        <f>_xlfn.HYPGEOM.DIST($A6,$C$3,'Benchmarks by Card Role'!K$22,99,FALSE)</f>
        <v/>
      </c>
      <c r="AH28">
        <f>_xlfn.HYPGEOM.DIST($A6,$C$3,'Benchmarks by Card Role'!L$22,99,FALSE)</f>
        <v/>
      </c>
      <c r="AJ28">
        <f>_xlfn.HYPGEOM.DIST($A6,$C$3,'Benchmarks by Card Role'!D$32,99,FALSE)</f>
        <v/>
      </c>
      <c r="AK28">
        <f>_xlfn.HYPGEOM.DIST($A6,$C$3,'Benchmarks by Card Role'!E$32,99,FALSE)</f>
        <v/>
      </c>
      <c r="AL28">
        <f>_xlfn.HYPGEOM.DIST($A6,$C$3,'Benchmarks by Card Role'!F$32,99,FALSE)</f>
        <v/>
      </c>
      <c r="AM28">
        <f>_xlfn.HYPGEOM.DIST($A6,$C$3,'Benchmarks by Card Role'!G$32,99,FALSE)</f>
        <v/>
      </c>
      <c r="AN28">
        <f>_xlfn.HYPGEOM.DIST($A6,$C$3,'Benchmarks by Card Role'!H$32,99,FALSE)</f>
        <v/>
      </c>
      <c r="AO28">
        <f>_xlfn.HYPGEOM.DIST($A6,$C$3,'Benchmarks by Card Role'!I$32,99,FALSE)</f>
        <v/>
      </c>
      <c r="AP28">
        <f>_xlfn.HYPGEOM.DIST($A6,$C$3,'Benchmarks by Card Role'!J$32,99,FALSE)</f>
        <v/>
      </c>
      <c r="AQ28">
        <f>_xlfn.HYPGEOM.DIST($A6,$C$3,'Benchmarks by Card Role'!K$32,99,FALSE)</f>
        <v/>
      </c>
      <c r="AR28">
        <f>_xlfn.HYPGEOM.DIST($A6,$C$3,'Benchmarks by Card Role'!L$32,99,FALSE)</f>
        <v/>
      </c>
      <c r="AT28">
        <f>_xlfn.HYPGEOM.DIST($A6,$C$3,'Benchmarks by Card Role'!D$42,99,FALSE)</f>
        <v/>
      </c>
      <c r="AU28">
        <f>_xlfn.HYPGEOM.DIST($A6,$C$3,'Benchmarks by Card Role'!E$42,99,FALSE)</f>
        <v/>
      </c>
      <c r="AV28">
        <f>_xlfn.HYPGEOM.DIST($A6,$C$3,'Benchmarks by Card Role'!F$42,99,FALSE)</f>
        <v/>
      </c>
      <c r="AW28">
        <f>_xlfn.HYPGEOM.DIST($A6,$C$3,'Benchmarks by Card Role'!G$42,99,FALSE)</f>
        <v/>
      </c>
      <c r="AX28">
        <f>_xlfn.HYPGEOM.DIST($A6,$C$3,'Benchmarks by Card Role'!H$42,99,FALSE)</f>
        <v/>
      </c>
      <c r="AY28">
        <f>_xlfn.HYPGEOM.DIST($A6,$C$3,'Benchmarks by Card Role'!I$42,99,FALSE)</f>
        <v/>
      </c>
      <c r="AZ28">
        <f>_xlfn.HYPGEOM.DIST($A6,$C$3,'Benchmarks by Card Role'!J$42,99,FALSE)</f>
        <v/>
      </c>
      <c r="BA28">
        <f>_xlfn.HYPGEOM.DIST($A6,$C$3,'Benchmarks by Card Role'!K$42,99,FALSE)</f>
        <v/>
      </c>
      <c r="BB28">
        <f>_xlfn.HYPGEOM.DIST($A6,$C$3,'Benchmarks by Card Role'!L$42,99,FALSE)</f>
        <v/>
      </c>
    </row>
    <row r="29">
      <c r="F29">
        <f>_xlfn.HYPGEOM.DIST($A7,$C$3,'Benchmarks by Card Role'!D$2,99,FALSE)</f>
        <v/>
      </c>
      <c r="G29">
        <f>_xlfn.HYPGEOM.DIST($A7,$C$3,'Benchmarks by Card Role'!E$2,99,FALSE)</f>
        <v/>
      </c>
      <c r="H29">
        <f>_xlfn.HYPGEOM.DIST($A7,$C$3,'Benchmarks by Card Role'!F$2,99,FALSE)</f>
        <v/>
      </c>
      <c r="I29">
        <f>_xlfn.HYPGEOM.DIST($A7,$C$3,'Benchmarks by Card Role'!G$2,99,FALSE)</f>
        <v/>
      </c>
      <c r="J29">
        <f>_xlfn.HYPGEOM.DIST($A7,$C$3,'Benchmarks by Card Role'!H$2,99,FALSE)</f>
        <v/>
      </c>
      <c r="K29">
        <f>_xlfn.HYPGEOM.DIST($A7,$C$3,'Benchmarks by Card Role'!I$2,99,FALSE)</f>
        <v/>
      </c>
      <c r="L29">
        <f>_xlfn.HYPGEOM.DIST($A7,$C$3,'Benchmarks by Card Role'!J$2,99,FALSE)</f>
        <v/>
      </c>
      <c r="M29">
        <f>_xlfn.HYPGEOM.DIST($A7,$C$3,'Benchmarks by Card Role'!K$2,99,FALSE)</f>
        <v/>
      </c>
      <c r="N29">
        <f>_xlfn.HYPGEOM.DIST($A7,$C$3,'Benchmarks by Card Role'!L$2,99,FALSE)</f>
        <v/>
      </c>
      <c r="P29">
        <f>_xlfn.HYPGEOM.DIST($A7,$C$3,'Benchmarks by Card Role'!D$12,99,FALSE)</f>
        <v/>
      </c>
      <c r="Q29">
        <f>_xlfn.HYPGEOM.DIST($A7,$C$3,'Benchmarks by Card Role'!E$12,99,FALSE)</f>
        <v/>
      </c>
      <c r="R29">
        <f>_xlfn.HYPGEOM.DIST($A7,$C$3,'Benchmarks by Card Role'!F$12,99,FALSE)</f>
        <v/>
      </c>
      <c r="S29">
        <f>_xlfn.HYPGEOM.DIST($A7,$C$3,'Benchmarks by Card Role'!G$12,99,FALSE)</f>
        <v/>
      </c>
      <c r="T29">
        <f>_xlfn.HYPGEOM.DIST($A7,$C$3,'Benchmarks by Card Role'!H$12,99,FALSE)</f>
        <v/>
      </c>
      <c r="U29">
        <f>_xlfn.HYPGEOM.DIST($A7,$C$3,'Benchmarks by Card Role'!I$12,99,FALSE)</f>
        <v/>
      </c>
      <c r="V29">
        <f>_xlfn.HYPGEOM.DIST($A7,$C$3,'Benchmarks by Card Role'!J$12,99,FALSE)</f>
        <v/>
      </c>
      <c r="W29">
        <f>_xlfn.HYPGEOM.DIST($A7,$C$3,'Benchmarks by Card Role'!K$12,99,FALSE)</f>
        <v/>
      </c>
      <c r="X29">
        <f>_xlfn.HYPGEOM.DIST($A7,$C$3,'Benchmarks by Card Role'!L$12,99,FALSE)</f>
        <v/>
      </c>
      <c r="Z29">
        <f>_xlfn.HYPGEOM.DIST($A7,$C$3,'Benchmarks by Card Role'!D$22,99,FALSE)</f>
        <v/>
      </c>
      <c r="AA29">
        <f>_xlfn.HYPGEOM.DIST($A7,$C$3,'Benchmarks by Card Role'!E$22,99,FALSE)</f>
        <v/>
      </c>
      <c r="AB29">
        <f>_xlfn.HYPGEOM.DIST($A7,$C$3,'Benchmarks by Card Role'!F$22,99,FALSE)</f>
        <v/>
      </c>
      <c r="AC29">
        <f>_xlfn.HYPGEOM.DIST($A7,$C$3,'Benchmarks by Card Role'!G$22,99,FALSE)</f>
        <v/>
      </c>
      <c r="AD29">
        <f>_xlfn.HYPGEOM.DIST($A7,$C$3,'Benchmarks by Card Role'!H$22,99,FALSE)</f>
        <v/>
      </c>
      <c r="AE29">
        <f>_xlfn.HYPGEOM.DIST($A7,$C$3,'Benchmarks by Card Role'!I$22,99,FALSE)</f>
        <v/>
      </c>
      <c r="AF29">
        <f>_xlfn.HYPGEOM.DIST($A7,$C$3,'Benchmarks by Card Role'!J$22,99,FALSE)</f>
        <v/>
      </c>
      <c r="AG29">
        <f>_xlfn.HYPGEOM.DIST($A7,$C$3,'Benchmarks by Card Role'!K$22,99,FALSE)</f>
        <v/>
      </c>
      <c r="AH29">
        <f>_xlfn.HYPGEOM.DIST($A7,$C$3,'Benchmarks by Card Role'!L$22,99,FALSE)</f>
        <v/>
      </c>
      <c r="AJ29">
        <f>_xlfn.HYPGEOM.DIST($A7,$C$3,'Benchmarks by Card Role'!D$32,99,FALSE)</f>
        <v/>
      </c>
      <c r="AK29">
        <f>_xlfn.HYPGEOM.DIST($A7,$C$3,'Benchmarks by Card Role'!E$32,99,FALSE)</f>
        <v/>
      </c>
      <c r="AL29">
        <f>_xlfn.HYPGEOM.DIST($A7,$C$3,'Benchmarks by Card Role'!F$32,99,FALSE)</f>
        <v/>
      </c>
      <c r="AM29">
        <f>_xlfn.HYPGEOM.DIST($A7,$C$3,'Benchmarks by Card Role'!G$32,99,FALSE)</f>
        <v/>
      </c>
      <c r="AN29">
        <f>_xlfn.HYPGEOM.DIST($A7,$C$3,'Benchmarks by Card Role'!H$32,99,FALSE)</f>
        <v/>
      </c>
      <c r="AO29">
        <f>_xlfn.HYPGEOM.DIST($A7,$C$3,'Benchmarks by Card Role'!I$32,99,FALSE)</f>
        <v/>
      </c>
      <c r="AP29">
        <f>_xlfn.HYPGEOM.DIST($A7,$C$3,'Benchmarks by Card Role'!J$32,99,FALSE)</f>
        <v/>
      </c>
      <c r="AQ29">
        <f>_xlfn.HYPGEOM.DIST($A7,$C$3,'Benchmarks by Card Role'!K$32,99,FALSE)</f>
        <v/>
      </c>
      <c r="AR29">
        <f>_xlfn.HYPGEOM.DIST($A7,$C$3,'Benchmarks by Card Role'!L$32,99,FALSE)</f>
        <v/>
      </c>
      <c r="AT29">
        <f>_xlfn.HYPGEOM.DIST($A7,$C$3,'Benchmarks by Card Role'!D$42,99,FALSE)</f>
        <v/>
      </c>
      <c r="AU29">
        <f>_xlfn.HYPGEOM.DIST($A7,$C$3,'Benchmarks by Card Role'!E$42,99,FALSE)</f>
        <v/>
      </c>
      <c r="AV29">
        <f>_xlfn.HYPGEOM.DIST($A7,$C$3,'Benchmarks by Card Role'!F$42,99,FALSE)</f>
        <v/>
      </c>
      <c r="AW29">
        <f>_xlfn.HYPGEOM.DIST($A7,$C$3,'Benchmarks by Card Role'!G$42,99,FALSE)</f>
        <v/>
      </c>
      <c r="AX29">
        <f>_xlfn.HYPGEOM.DIST($A7,$C$3,'Benchmarks by Card Role'!H$42,99,FALSE)</f>
        <v/>
      </c>
      <c r="AY29">
        <f>_xlfn.HYPGEOM.DIST($A7,$C$3,'Benchmarks by Card Role'!I$42,99,FALSE)</f>
        <v/>
      </c>
      <c r="AZ29">
        <f>_xlfn.HYPGEOM.DIST($A7,$C$3,'Benchmarks by Card Role'!J$42,99,FALSE)</f>
        <v/>
      </c>
      <c r="BA29">
        <f>_xlfn.HYPGEOM.DIST($A7,$C$3,'Benchmarks by Card Role'!K$42,99,FALSE)</f>
        <v/>
      </c>
      <c r="BB29">
        <f>_xlfn.HYPGEOM.DIST($A7,$C$3,'Benchmarks by Card Role'!L$42,99,FALSE)</f>
        <v/>
      </c>
    </row>
    <row r="30">
      <c r="F30">
        <f>_xlfn.HYPGEOM.DIST($A8,$C$3,'Benchmarks by Card Role'!D$2,99,FALSE)</f>
        <v/>
      </c>
      <c r="G30">
        <f>_xlfn.HYPGEOM.DIST($A8,$C$3,'Benchmarks by Card Role'!E$2,99,FALSE)</f>
        <v/>
      </c>
      <c r="H30">
        <f>_xlfn.HYPGEOM.DIST($A8,$C$3,'Benchmarks by Card Role'!F$2,99,FALSE)</f>
        <v/>
      </c>
      <c r="I30">
        <f>_xlfn.HYPGEOM.DIST($A8,$C$3,'Benchmarks by Card Role'!G$2,99,FALSE)</f>
        <v/>
      </c>
      <c r="J30">
        <f>_xlfn.HYPGEOM.DIST($A8,$C$3,'Benchmarks by Card Role'!H$2,99,FALSE)</f>
        <v/>
      </c>
      <c r="K30">
        <f>_xlfn.HYPGEOM.DIST($A8,$C$3,'Benchmarks by Card Role'!I$2,99,FALSE)</f>
        <v/>
      </c>
      <c r="L30">
        <f>_xlfn.HYPGEOM.DIST($A8,$C$3,'Benchmarks by Card Role'!J$2,99,FALSE)</f>
        <v/>
      </c>
      <c r="M30">
        <f>_xlfn.HYPGEOM.DIST($A8,$C$3,'Benchmarks by Card Role'!K$2,99,FALSE)</f>
        <v/>
      </c>
      <c r="N30">
        <f>_xlfn.HYPGEOM.DIST($A8,$C$3,'Benchmarks by Card Role'!L$2,99,FALSE)</f>
        <v/>
      </c>
      <c r="P30">
        <f>_xlfn.HYPGEOM.DIST($A8,$C$3,'Benchmarks by Card Role'!D$12,99,FALSE)</f>
        <v/>
      </c>
      <c r="Q30">
        <f>_xlfn.HYPGEOM.DIST($A8,$C$3,'Benchmarks by Card Role'!E$12,99,FALSE)</f>
        <v/>
      </c>
      <c r="R30">
        <f>_xlfn.HYPGEOM.DIST($A8,$C$3,'Benchmarks by Card Role'!F$12,99,FALSE)</f>
        <v/>
      </c>
      <c r="S30">
        <f>_xlfn.HYPGEOM.DIST($A8,$C$3,'Benchmarks by Card Role'!G$12,99,FALSE)</f>
        <v/>
      </c>
      <c r="T30">
        <f>_xlfn.HYPGEOM.DIST($A8,$C$3,'Benchmarks by Card Role'!H$12,99,FALSE)</f>
        <v/>
      </c>
      <c r="U30">
        <f>_xlfn.HYPGEOM.DIST($A8,$C$3,'Benchmarks by Card Role'!I$12,99,FALSE)</f>
        <v/>
      </c>
      <c r="V30">
        <f>_xlfn.HYPGEOM.DIST($A8,$C$3,'Benchmarks by Card Role'!J$12,99,FALSE)</f>
        <v/>
      </c>
      <c r="W30">
        <f>_xlfn.HYPGEOM.DIST($A8,$C$3,'Benchmarks by Card Role'!K$12,99,FALSE)</f>
        <v/>
      </c>
      <c r="X30">
        <f>_xlfn.HYPGEOM.DIST($A8,$C$3,'Benchmarks by Card Role'!L$12,99,FALSE)</f>
        <v/>
      </c>
      <c r="Z30">
        <f>_xlfn.HYPGEOM.DIST($A8,$C$3,'Benchmarks by Card Role'!D$22,99,FALSE)</f>
        <v/>
      </c>
      <c r="AA30">
        <f>_xlfn.HYPGEOM.DIST($A8,$C$3,'Benchmarks by Card Role'!E$22,99,FALSE)</f>
        <v/>
      </c>
      <c r="AB30">
        <f>_xlfn.HYPGEOM.DIST($A8,$C$3,'Benchmarks by Card Role'!F$22,99,FALSE)</f>
        <v/>
      </c>
      <c r="AC30">
        <f>_xlfn.HYPGEOM.DIST($A8,$C$3,'Benchmarks by Card Role'!G$22,99,FALSE)</f>
        <v/>
      </c>
      <c r="AD30">
        <f>_xlfn.HYPGEOM.DIST($A8,$C$3,'Benchmarks by Card Role'!H$22,99,FALSE)</f>
        <v/>
      </c>
      <c r="AE30">
        <f>_xlfn.HYPGEOM.DIST($A8,$C$3,'Benchmarks by Card Role'!I$22,99,FALSE)</f>
        <v/>
      </c>
      <c r="AF30">
        <f>_xlfn.HYPGEOM.DIST($A8,$C$3,'Benchmarks by Card Role'!J$22,99,FALSE)</f>
        <v/>
      </c>
      <c r="AG30">
        <f>_xlfn.HYPGEOM.DIST($A8,$C$3,'Benchmarks by Card Role'!K$22,99,FALSE)</f>
        <v/>
      </c>
      <c r="AH30">
        <f>_xlfn.HYPGEOM.DIST($A8,$C$3,'Benchmarks by Card Role'!L$22,99,FALSE)</f>
        <v/>
      </c>
      <c r="AJ30">
        <f>_xlfn.HYPGEOM.DIST($A8,$C$3,'Benchmarks by Card Role'!D$32,99,FALSE)</f>
        <v/>
      </c>
      <c r="AK30">
        <f>_xlfn.HYPGEOM.DIST($A8,$C$3,'Benchmarks by Card Role'!E$32,99,FALSE)</f>
        <v/>
      </c>
      <c r="AL30">
        <f>_xlfn.HYPGEOM.DIST($A8,$C$3,'Benchmarks by Card Role'!F$32,99,FALSE)</f>
        <v/>
      </c>
      <c r="AM30">
        <f>_xlfn.HYPGEOM.DIST($A8,$C$3,'Benchmarks by Card Role'!G$32,99,FALSE)</f>
        <v/>
      </c>
      <c r="AN30">
        <f>_xlfn.HYPGEOM.DIST($A8,$C$3,'Benchmarks by Card Role'!H$32,99,FALSE)</f>
        <v/>
      </c>
      <c r="AO30">
        <f>_xlfn.HYPGEOM.DIST($A8,$C$3,'Benchmarks by Card Role'!I$32,99,FALSE)</f>
        <v/>
      </c>
      <c r="AP30">
        <f>_xlfn.HYPGEOM.DIST($A8,$C$3,'Benchmarks by Card Role'!J$32,99,FALSE)</f>
        <v/>
      </c>
      <c r="AQ30">
        <f>_xlfn.HYPGEOM.DIST($A8,$C$3,'Benchmarks by Card Role'!K$32,99,FALSE)</f>
        <v/>
      </c>
      <c r="AR30">
        <f>_xlfn.HYPGEOM.DIST($A8,$C$3,'Benchmarks by Card Role'!L$32,99,FALSE)</f>
        <v/>
      </c>
      <c r="AT30">
        <f>_xlfn.HYPGEOM.DIST($A8,$C$3,'Benchmarks by Card Role'!D$42,99,FALSE)</f>
        <v/>
      </c>
      <c r="AU30">
        <f>_xlfn.HYPGEOM.DIST($A8,$C$3,'Benchmarks by Card Role'!E$42,99,FALSE)</f>
        <v/>
      </c>
      <c r="AV30">
        <f>_xlfn.HYPGEOM.DIST($A8,$C$3,'Benchmarks by Card Role'!F$42,99,FALSE)</f>
        <v/>
      </c>
      <c r="AW30">
        <f>_xlfn.HYPGEOM.DIST($A8,$C$3,'Benchmarks by Card Role'!G$42,99,FALSE)</f>
        <v/>
      </c>
      <c r="AX30">
        <f>_xlfn.HYPGEOM.DIST($A8,$C$3,'Benchmarks by Card Role'!H$42,99,FALSE)</f>
        <v/>
      </c>
      <c r="AY30">
        <f>_xlfn.HYPGEOM.DIST($A8,$C$3,'Benchmarks by Card Role'!I$42,99,FALSE)</f>
        <v/>
      </c>
      <c r="AZ30">
        <f>_xlfn.HYPGEOM.DIST($A8,$C$3,'Benchmarks by Card Role'!J$42,99,FALSE)</f>
        <v/>
      </c>
      <c r="BA30">
        <f>_xlfn.HYPGEOM.DIST($A8,$C$3,'Benchmarks by Card Role'!K$42,99,FALSE)</f>
        <v/>
      </c>
      <c r="BB30">
        <f>_xlfn.HYPGEOM.DIST($A8,$C$3,'Benchmarks by Card Role'!L$42,99,FALSE)</f>
        <v/>
      </c>
    </row>
    <row r="31">
      <c r="F31">
        <f>_xlfn.HYPGEOM.DIST($A9,$C$3,'Benchmarks by Card Role'!D$2,99,FALSE)</f>
        <v/>
      </c>
      <c r="G31">
        <f>_xlfn.HYPGEOM.DIST($A9,$C$3,'Benchmarks by Card Role'!E$2,99,FALSE)</f>
        <v/>
      </c>
      <c r="H31">
        <f>_xlfn.HYPGEOM.DIST($A9,$C$3,'Benchmarks by Card Role'!F$2,99,FALSE)</f>
        <v/>
      </c>
      <c r="I31">
        <f>_xlfn.HYPGEOM.DIST($A9,$C$3,'Benchmarks by Card Role'!G$2,99,FALSE)</f>
        <v/>
      </c>
      <c r="J31">
        <f>_xlfn.HYPGEOM.DIST($A9,$C$3,'Benchmarks by Card Role'!H$2,99,FALSE)</f>
        <v/>
      </c>
      <c r="K31">
        <f>_xlfn.HYPGEOM.DIST($A9,$C$3,'Benchmarks by Card Role'!I$2,99,FALSE)</f>
        <v/>
      </c>
      <c r="L31">
        <f>_xlfn.HYPGEOM.DIST($A9,$C$3,'Benchmarks by Card Role'!J$2,99,FALSE)</f>
        <v/>
      </c>
      <c r="M31">
        <f>_xlfn.HYPGEOM.DIST($A9,$C$3,'Benchmarks by Card Role'!K$2,99,FALSE)</f>
        <v/>
      </c>
      <c r="N31">
        <f>_xlfn.HYPGEOM.DIST($A9,$C$3,'Benchmarks by Card Role'!L$2,99,FALSE)</f>
        <v/>
      </c>
      <c r="P31">
        <f>_xlfn.HYPGEOM.DIST($A9,$C$3,'Benchmarks by Card Role'!D$12,99,FALSE)</f>
        <v/>
      </c>
      <c r="Q31">
        <f>_xlfn.HYPGEOM.DIST($A9,$C$3,'Benchmarks by Card Role'!E$12,99,FALSE)</f>
        <v/>
      </c>
      <c r="R31">
        <f>_xlfn.HYPGEOM.DIST($A9,$C$3,'Benchmarks by Card Role'!F$12,99,FALSE)</f>
        <v/>
      </c>
      <c r="S31">
        <f>_xlfn.HYPGEOM.DIST($A9,$C$3,'Benchmarks by Card Role'!G$12,99,FALSE)</f>
        <v/>
      </c>
      <c r="T31">
        <f>_xlfn.HYPGEOM.DIST($A9,$C$3,'Benchmarks by Card Role'!H$12,99,FALSE)</f>
        <v/>
      </c>
      <c r="U31">
        <f>_xlfn.HYPGEOM.DIST($A9,$C$3,'Benchmarks by Card Role'!I$12,99,FALSE)</f>
        <v/>
      </c>
      <c r="V31">
        <f>_xlfn.HYPGEOM.DIST($A9,$C$3,'Benchmarks by Card Role'!J$12,99,FALSE)</f>
        <v/>
      </c>
      <c r="W31">
        <f>_xlfn.HYPGEOM.DIST($A9,$C$3,'Benchmarks by Card Role'!K$12,99,FALSE)</f>
        <v/>
      </c>
      <c r="X31">
        <f>_xlfn.HYPGEOM.DIST($A9,$C$3,'Benchmarks by Card Role'!L$12,99,FALSE)</f>
        <v/>
      </c>
      <c r="Z31">
        <f>_xlfn.HYPGEOM.DIST($A9,$C$3,'Benchmarks by Card Role'!D$22,99,FALSE)</f>
        <v/>
      </c>
      <c r="AA31">
        <f>_xlfn.HYPGEOM.DIST($A9,$C$3,'Benchmarks by Card Role'!E$22,99,FALSE)</f>
        <v/>
      </c>
      <c r="AB31">
        <f>_xlfn.HYPGEOM.DIST($A9,$C$3,'Benchmarks by Card Role'!F$22,99,FALSE)</f>
        <v/>
      </c>
      <c r="AC31">
        <f>_xlfn.HYPGEOM.DIST($A9,$C$3,'Benchmarks by Card Role'!G$22,99,FALSE)</f>
        <v/>
      </c>
      <c r="AD31">
        <f>_xlfn.HYPGEOM.DIST($A9,$C$3,'Benchmarks by Card Role'!H$22,99,FALSE)</f>
        <v/>
      </c>
      <c r="AE31">
        <f>_xlfn.HYPGEOM.DIST($A9,$C$3,'Benchmarks by Card Role'!I$22,99,FALSE)</f>
        <v/>
      </c>
      <c r="AF31">
        <f>_xlfn.HYPGEOM.DIST($A9,$C$3,'Benchmarks by Card Role'!J$22,99,FALSE)</f>
        <v/>
      </c>
      <c r="AG31">
        <f>_xlfn.HYPGEOM.DIST($A9,$C$3,'Benchmarks by Card Role'!K$22,99,FALSE)</f>
        <v/>
      </c>
      <c r="AH31">
        <f>_xlfn.HYPGEOM.DIST($A9,$C$3,'Benchmarks by Card Role'!L$22,99,FALSE)</f>
        <v/>
      </c>
      <c r="AJ31">
        <f>_xlfn.HYPGEOM.DIST($A9,$C$3,'Benchmarks by Card Role'!D$32,99,FALSE)</f>
        <v/>
      </c>
      <c r="AK31">
        <f>_xlfn.HYPGEOM.DIST($A9,$C$3,'Benchmarks by Card Role'!E$32,99,FALSE)</f>
        <v/>
      </c>
      <c r="AL31">
        <f>_xlfn.HYPGEOM.DIST($A9,$C$3,'Benchmarks by Card Role'!F$32,99,FALSE)</f>
        <v/>
      </c>
      <c r="AM31">
        <f>_xlfn.HYPGEOM.DIST($A9,$C$3,'Benchmarks by Card Role'!G$32,99,FALSE)</f>
        <v/>
      </c>
      <c r="AN31">
        <f>_xlfn.HYPGEOM.DIST($A9,$C$3,'Benchmarks by Card Role'!H$32,99,FALSE)</f>
        <v/>
      </c>
      <c r="AO31">
        <f>_xlfn.HYPGEOM.DIST($A9,$C$3,'Benchmarks by Card Role'!I$32,99,FALSE)</f>
        <v/>
      </c>
      <c r="AP31">
        <f>_xlfn.HYPGEOM.DIST($A9,$C$3,'Benchmarks by Card Role'!J$32,99,FALSE)</f>
        <v/>
      </c>
      <c r="AQ31">
        <f>_xlfn.HYPGEOM.DIST($A9,$C$3,'Benchmarks by Card Role'!K$32,99,FALSE)</f>
        <v/>
      </c>
      <c r="AR31">
        <f>_xlfn.HYPGEOM.DIST($A9,$C$3,'Benchmarks by Card Role'!L$32,99,FALSE)</f>
        <v/>
      </c>
      <c r="AT31">
        <f>_xlfn.HYPGEOM.DIST($A9,$C$3,'Benchmarks by Card Role'!D$42,99,FALSE)</f>
        <v/>
      </c>
      <c r="AU31">
        <f>_xlfn.HYPGEOM.DIST($A9,$C$3,'Benchmarks by Card Role'!E$42,99,FALSE)</f>
        <v/>
      </c>
      <c r="AV31">
        <f>_xlfn.HYPGEOM.DIST($A9,$C$3,'Benchmarks by Card Role'!F$42,99,FALSE)</f>
        <v/>
      </c>
      <c r="AW31">
        <f>_xlfn.HYPGEOM.DIST($A9,$C$3,'Benchmarks by Card Role'!G$42,99,FALSE)</f>
        <v/>
      </c>
      <c r="AX31">
        <f>_xlfn.HYPGEOM.DIST($A9,$C$3,'Benchmarks by Card Role'!H$42,99,FALSE)</f>
        <v/>
      </c>
      <c r="AY31">
        <f>_xlfn.HYPGEOM.DIST($A9,$C$3,'Benchmarks by Card Role'!I$42,99,FALSE)</f>
        <v/>
      </c>
      <c r="AZ31">
        <f>_xlfn.HYPGEOM.DIST($A9,$C$3,'Benchmarks by Card Role'!J$42,99,FALSE)</f>
        <v/>
      </c>
      <c r="BA31">
        <f>_xlfn.HYPGEOM.DIST($A9,$C$3,'Benchmarks by Card Role'!K$42,99,FALSE)</f>
        <v/>
      </c>
      <c r="BB31">
        <f>_xlfn.HYPGEOM.DIST($A9,$C$3,'Benchmarks by Card Role'!L$42,99,FALSE)</f>
        <v/>
      </c>
    </row>
    <row r="32">
      <c r="F32">
        <f>SUM(F23*$A$1,F24*$A$2,F25*$A$3,F26*$A$4,F27*$A$5,F28*$A$6,F29*$A$7,F30*$A$8,F31*$A$9)</f>
        <v/>
      </c>
      <c r="G32">
        <f>SUM(G23*$A$1,G24*$A$2,G25*$A$3,G26*$A$4,G27*$A$5,G28*$A$6,G29*$A$7,G30*$A$8,G31*$A$9)</f>
        <v/>
      </c>
      <c r="H32">
        <f>SUM(H23*$A$1,H24*$A$2,H25*$A$3,H26*$A$4,H27*$A$5,H28*$A$6,H29*$A$7,H30*$A$8,H31*$A$9)</f>
        <v/>
      </c>
      <c r="I32">
        <f>SUM(I23*$A$1,I24*$A$2,I25*$A$3,I26*$A$4,I27*$A$5,I28*$A$6,I29*$A$7,I30*$A$8,I31*$A$9)</f>
        <v/>
      </c>
      <c r="J32">
        <f>SUM(J23*$A$1,J24*$A$2,J25*$A$3,J26*$A$4,J27*$A$5,J28*$A$6,J29*$A$7,J30*$A$8,J31*$A$9)</f>
        <v/>
      </c>
      <c r="K32">
        <f>SUM(K23*$A$1,K24*$A$2,K25*$A$3,K26*$A$4,K27*$A$5,K28*$A$6,K29*$A$7,K30*$A$8,K31*$A$9)</f>
        <v/>
      </c>
      <c r="L32">
        <f>SUM(L23*$A$1,L24*$A$2,L25*$A$3,L26*$A$4,L27*$A$5,L28*$A$6,L29*$A$7,L30*$A$8,L31*$A$9)</f>
        <v/>
      </c>
      <c r="M32">
        <f>SUM(M23*$A$1,M24*$A$2,M25*$A$3,M26*$A$4,M27*$A$5,M28*$A$6,M29*$A$7,M30*$A$8,M31*$A$9)</f>
        <v/>
      </c>
      <c r="N32">
        <f>SUM(N23*$A$1,N24*$A$2,N25*$A$3,N26*$A$4,N27*$A$5,N28*$A$6,N29*$A$7,N30*$A$8,N31*$A$9)</f>
        <v/>
      </c>
      <c r="P32">
        <f>SUM(P23*$A$1,P24*$A$2,P25*$A$3,P26*$A$4,P27*$A$5,P28*$A$6,P29*$A$7,P30*$A$8,P31*$A$9)</f>
        <v/>
      </c>
      <c r="Q32">
        <f>SUM(Q23*$A$1,Q24*$A$2,Q25*$A$3,Q26*$A$4,Q27*$A$5,Q28*$A$6,Q29*$A$7,Q30*$A$8,Q31*$A$9)</f>
        <v/>
      </c>
      <c r="R32">
        <f>SUM(R23*$A$1,R24*$A$2,R25*$A$3,R26*$A$4,R27*$A$5,R28*$A$6,R29*$A$7,R30*$A$8,R31*$A$9)</f>
        <v/>
      </c>
      <c r="S32">
        <f>SUM(S23*$A$1,S24*$A$2,S25*$A$3,S26*$A$4,S27*$A$5,S28*$A$6,S29*$A$7,S30*$A$8,S31*$A$9)</f>
        <v/>
      </c>
      <c r="T32">
        <f>SUM(T23*$A$1,T24*$A$2,T25*$A$3,T26*$A$4,T27*$A$5,T28*$A$6,T29*$A$7,T30*$A$8,T31*$A$9)</f>
        <v/>
      </c>
      <c r="U32">
        <f>SUM(U23*$A$1,U24*$A$2,U25*$A$3,U26*$A$4,U27*$A$5,U28*$A$6,U29*$A$7,U30*$A$8,U31*$A$9)</f>
        <v/>
      </c>
      <c r="V32">
        <f>SUM(V23*$A$1,V24*$A$2,V25*$A$3,V26*$A$4,V27*$A$5,V28*$A$6,V29*$A$7,V30*$A$8,V31*$A$9)</f>
        <v/>
      </c>
      <c r="W32">
        <f>SUM(W23*$A$1,W24*$A$2,W25*$A$3,W26*$A$4,W27*$A$5,W28*$A$6,W29*$A$7,W30*$A$8,W31*$A$9)</f>
        <v/>
      </c>
      <c r="X32">
        <f>SUM(X23*$A$1,X24*$A$2,X25*$A$3,X26*$A$4,X27*$A$5,X28*$A$6,X29*$A$7,X30*$A$8,X31*$A$9)</f>
        <v/>
      </c>
      <c r="Z32">
        <f>SUM(Z23*$A$1,Z24*$A$2,Z25*$A$3,Z26*$A$4,Z27*$A$5,Z28*$A$6,Z29*$A$7,Z30*$A$8,Z31*$A$9)</f>
        <v/>
      </c>
      <c r="AA32">
        <f>SUM(AA23*$A$1,AA24*$A$2,AA25*$A$3,AA26*$A$4,AA27*$A$5,AA28*$A$6,AA29*$A$7,AA30*$A$8,AA31*$A$9)</f>
        <v/>
      </c>
      <c r="AB32">
        <f>SUM(AB23*$A$1,AB24*$A$2,AB25*$A$3,AB26*$A$4,AB27*$A$5,AB28*$A$6,AB29*$A$7,AB30*$A$8,AB31*$A$9)</f>
        <v/>
      </c>
      <c r="AC32">
        <f>SUM(AC23*$A$1,AC24*$A$2,AC25*$A$3,AC26*$A$4,AC27*$A$5,AC28*$A$6,AC29*$A$7,AC30*$A$8,AC31*$A$9)</f>
        <v/>
      </c>
      <c r="AD32">
        <f>SUM(AD23*$A$1,AD24*$A$2,AD25*$A$3,AD26*$A$4,AD27*$A$5,AD28*$A$6,AD29*$A$7,AD30*$A$8,AD31*$A$9)</f>
        <v/>
      </c>
      <c r="AE32">
        <f>SUM(AE23*$A$1,AE24*$A$2,AE25*$A$3,AE26*$A$4,AE27*$A$5,AE28*$A$6,AE29*$A$7,AE30*$A$8,AE31*$A$9)</f>
        <v/>
      </c>
      <c r="AF32">
        <f>SUM(AF23*$A$1,AF24*$A$2,AF25*$A$3,AF26*$A$4,AF27*$A$5,AF28*$A$6,AF29*$A$7,AF30*$A$8,AF31*$A$9)</f>
        <v/>
      </c>
      <c r="AG32">
        <f>SUM(AG23*$A$1,AG24*$A$2,AG25*$A$3,AG26*$A$4,AG27*$A$5,AG28*$A$6,AG29*$A$7,AG30*$A$8,AG31*$A$9)</f>
        <v/>
      </c>
      <c r="AH32">
        <f>SUM(AH23*$A$1,AH24*$A$2,AH25*$A$3,AH26*$A$4,AH27*$A$5,AH28*$A$6,AH29*$A$7,AH30*$A$8,AH31*$A$9)</f>
        <v/>
      </c>
      <c r="AJ32">
        <f>SUM(AJ23*$A$1,AJ24*$A$2,AJ25*$A$3,AJ26*$A$4,AJ27*$A$5,AJ28*$A$6,AJ29*$A$7,AJ30*$A$8,AJ31*$A$9)</f>
        <v/>
      </c>
      <c r="AK32">
        <f>SUM(AK23*$A$1,AK24*$A$2,AK25*$A$3,AK26*$A$4,AK27*$A$5,AK28*$A$6,AK29*$A$7,AK30*$A$8,AK31*$A$9)</f>
        <v/>
      </c>
      <c r="AL32">
        <f>SUM(AL23*$A$1,AL24*$A$2,AL25*$A$3,AL26*$A$4,AL27*$A$5,AL28*$A$6,AL29*$A$7,AL30*$A$8,AL31*$A$9)</f>
        <v/>
      </c>
      <c r="AM32">
        <f>SUM(AM23*$A$1,AM24*$A$2,AM25*$A$3,AM26*$A$4,AM27*$A$5,AM28*$A$6,AM29*$A$7,AM30*$A$8,AM31*$A$9)</f>
        <v/>
      </c>
      <c r="AN32">
        <f>SUM(AN23*$A$1,AN24*$A$2,AN25*$A$3,AN26*$A$4,AN27*$A$5,AN28*$A$6,AN29*$A$7,AN30*$A$8,AN31*$A$9)</f>
        <v/>
      </c>
      <c r="AO32">
        <f>SUM(AO23*$A$1,AO24*$A$2,AO25*$A$3,AO26*$A$4,AO27*$A$5,AO28*$A$6,AO29*$A$7,AO30*$A$8,AO31*$A$9)</f>
        <v/>
      </c>
      <c r="AP32">
        <f>SUM(AP23*$A$1,AP24*$A$2,AP25*$A$3,AP26*$A$4,AP27*$A$5,AP28*$A$6,AP29*$A$7,AP30*$A$8,AP31*$A$9)</f>
        <v/>
      </c>
      <c r="AQ32">
        <f>SUM(AQ23*$A$1,AQ24*$A$2,AQ25*$A$3,AQ26*$A$4,AQ27*$A$5,AQ28*$A$6,AQ29*$A$7,AQ30*$A$8,AQ31*$A$9)</f>
        <v/>
      </c>
      <c r="AR32">
        <f>SUM(AR23*$A$1,AR24*$A$2,AR25*$A$3,AR26*$A$4,AR27*$A$5,AR28*$A$6,AR29*$A$7,AR30*$A$8,AR31*$A$9)</f>
        <v/>
      </c>
      <c r="AT32">
        <f>SUM(AT23*$A$1,AT24*$A$2,AT25*$A$3,AT26*$A$4,AT27*$A$5,AT28*$A$6,AT29*$A$7,AT30*$A$8,AT31*$A$9)</f>
        <v/>
      </c>
      <c r="AU32">
        <f>SUM(AU23*$A$1,AU24*$A$2,AU25*$A$3,AU26*$A$4,AU27*$A$5,AU28*$A$6,AU29*$A$7,AU30*$A$8,AU31*$A$9)</f>
        <v/>
      </c>
      <c r="AV32">
        <f>SUM(AV23*$A$1,AV24*$A$2,AV25*$A$3,AV26*$A$4,AV27*$A$5,AV28*$A$6,AV29*$A$7,AV30*$A$8,AV31*$A$9)</f>
        <v/>
      </c>
      <c r="AW32">
        <f>SUM(AW23*$A$1,AW24*$A$2,AW25*$A$3,AW26*$A$4,AW27*$A$5,AW28*$A$6,AW29*$A$7,AW30*$A$8,AW31*$A$9)</f>
        <v/>
      </c>
      <c r="AX32">
        <f>SUM(AX23*$A$1,AX24*$A$2,AX25*$A$3,AX26*$A$4,AX27*$A$5,AX28*$A$6,AX29*$A$7,AX30*$A$8,AX31*$A$9)</f>
        <v/>
      </c>
      <c r="AY32">
        <f>SUM(AY23*$A$1,AY24*$A$2,AY25*$A$3,AY26*$A$4,AY27*$A$5,AY28*$A$6,AY29*$A$7,AY30*$A$8,AY31*$A$9)</f>
        <v/>
      </c>
      <c r="AZ32">
        <f>SUM(AZ23*$A$1,AZ24*$A$2,AZ25*$A$3,AZ26*$A$4,AZ27*$A$5,AZ28*$A$6,AZ29*$A$7,AZ30*$A$8,AZ31*$A$9)</f>
        <v/>
      </c>
      <c r="BA32">
        <f>SUM(BA23*$A$1,BA24*$A$2,BA25*$A$3,BA26*$A$4,BA27*$A$5,BA28*$A$6,BA29*$A$7,BA30*$A$8,BA31*$A$9)</f>
        <v/>
      </c>
      <c r="BB32">
        <f>SUM(BB23*$A$1,BB24*$A$2,BB25*$A$3,BB26*$A$4,BB27*$A$5,BB28*$A$6,BB29*$A$7,BB30*$A$8,BB31*$A$9)</f>
        <v/>
      </c>
    </row>
    <row r="33"/>
    <row r="34">
      <c r="F34">
        <f>_xlfn.HYPGEOM.DIST($A1,$C$4,'Benchmarks by Card Role'!D$2,99,FALSE)</f>
        <v/>
      </c>
      <c r="G34">
        <f>_xlfn.HYPGEOM.DIST($A1,$C$4,'Benchmarks by Card Role'!E$2,99,FALSE)</f>
        <v/>
      </c>
      <c r="H34">
        <f>_xlfn.HYPGEOM.DIST($A1,$C$4,'Benchmarks by Card Role'!F$2,99,FALSE)</f>
        <v/>
      </c>
      <c r="I34">
        <f>_xlfn.HYPGEOM.DIST($A1,$C$4,'Benchmarks by Card Role'!G$2,99,FALSE)</f>
        <v/>
      </c>
      <c r="J34">
        <f>_xlfn.HYPGEOM.DIST($A1,$C$4,'Benchmarks by Card Role'!H$2,99,FALSE)</f>
        <v/>
      </c>
      <c r="K34">
        <f>_xlfn.HYPGEOM.DIST($A1,$C$4,'Benchmarks by Card Role'!I$2,99,FALSE)</f>
        <v/>
      </c>
      <c r="L34">
        <f>_xlfn.HYPGEOM.DIST($A1,$C$4,'Benchmarks by Card Role'!J$2,99,FALSE)</f>
        <v/>
      </c>
      <c r="M34">
        <f>_xlfn.HYPGEOM.DIST($A1,$C$4,'Benchmarks by Card Role'!K$2,99,FALSE)</f>
        <v/>
      </c>
      <c r="N34">
        <f>_xlfn.HYPGEOM.DIST($A1,$C$4,'Benchmarks by Card Role'!L$2,99,FALSE)</f>
        <v/>
      </c>
      <c r="P34">
        <f>_xlfn.HYPGEOM.DIST($A1,$C$4,'Benchmarks by Card Role'!D$12,99,FALSE)</f>
        <v/>
      </c>
      <c r="Q34">
        <f>_xlfn.HYPGEOM.DIST($A1,$C$4,'Benchmarks by Card Role'!E$12,99,FALSE)</f>
        <v/>
      </c>
      <c r="R34">
        <f>_xlfn.HYPGEOM.DIST($A1,$C$4,'Benchmarks by Card Role'!F$12,99,FALSE)</f>
        <v/>
      </c>
      <c r="S34">
        <f>_xlfn.HYPGEOM.DIST($A1,$C$4,'Benchmarks by Card Role'!G$12,99,FALSE)</f>
        <v/>
      </c>
      <c r="T34">
        <f>_xlfn.HYPGEOM.DIST($A1,$C$4,'Benchmarks by Card Role'!H$12,99,FALSE)</f>
        <v/>
      </c>
      <c r="U34">
        <f>_xlfn.HYPGEOM.DIST($A1,$C$4,'Benchmarks by Card Role'!I$12,99,FALSE)</f>
        <v/>
      </c>
      <c r="V34">
        <f>_xlfn.HYPGEOM.DIST($A1,$C$4,'Benchmarks by Card Role'!J$12,99,FALSE)</f>
        <v/>
      </c>
      <c r="W34">
        <f>_xlfn.HYPGEOM.DIST($A1,$C$4,'Benchmarks by Card Role'!K$12,99,FALSE)</f>
        <v/>
      </c>
      <c r="X34">
        <f>_xlfn.HYPGEOM.DIST($A1,$C$4,'Benchmarks by Card Role'!L$12,99,FALSE)</f>
        <v/>
      </c>
      <c r="Z34">
        <f>_xlfn.HYPGEOM.DIST($A1,$C$4,'Benchmarks by Card Role'!D$22,99,FALSE)</f>
        <v/>
      </c>
      <c r="AA34">
        <f>_xlfn.HYPGEOM.DIST($A1,$C$4,'Benchmarks by Card Role'!E$22,99,FALSE)</f>
        <v/>
      </c>
      <c r="AB34">
        <f>_xlfn.HYPGEOM.DIST($A1,$C$4,'Benchmarks by Card Role'!F$22,99,FALSE)</f>
        <v/>
      </c>
      <c r="AC34">
        <f>_xlfn.HYPGEOM.DIST($A1,$C$4,'Benchmarks by Card Role'!G$22,99,FALSE)</f>
        <v/>
      </c>
      <c r="AD34">
        <f>_xlfn.HYPGEOM.DIST($A1,$C$4,'Benchmarks by Card Role'!H$22,99,FALSE)</f>
        <v/>
      </c>
      <c r="AE34">
        <f>_xlfn.HYPGEOM.DIST($A1,$C$4,'Benchmarks by Card Role'!I$22,99,FALSE)</f>
        <v/>
      </c>
      <c r="AF34">
        <f>_xlfn.HYPGEOM.DIST($A1,$C$4,'Benchmarks by Card Role'!J$22,99,FALSE)</f>
        <v/>
      </c>
      <c r="AG34">
        <f>_xlfn.HYPGEOM.DIST($A1,$C$4,'Benchmarks by Card Role'!K$22,99,FALSE)</f>
        <v/>
      </c>
      <c r="AH34">
        <f>_xlfn.HYPGEOM.DIST($A1,$C$4,'Benchmarks by Card Role'!L$22,99,FALSE)</f>
        <v/>
      </c>
      <c r="AJ34">
        <f>_xlfn.HYPGEOM.DIST($A1,$C$4,'Benchmarks by Card Role'!D$32,99,FALSE)</f>
        <v/>
      </c>
      <c r="AK34">
        <f>_xlfn.HYPGEOM.DIST($A1,$C$4,'Benchmarks by Card Role'!E$32,99,FALSE)</f>
        <v/>
      </c>
      <c r="AL34">
        <f>_xlfn.HYPGEOM.DIST($A1,$C$4,'Benchmarks by Card Role'!F$32,99,FALSE)</f>
        <v/>
      </c>
      <c r="AM34">
        <f>_xlfn.HYPGEOM.DIST($A1,$C$4,'Benchmarks by Card Role'!G$32,99,FALSE)</f>
        <v/>
      </c>
      <c r="AN34">
        <f>_xlfn.HYPGEOM.DIST($A1,$C$4,'Benchmarks by Card Role'!H$32,99,FALSE)</f>
        <v/>
      </c>
      <c r="AO34">
        <f>_xlfn.HYPGEOM.DIST($A1,$C$4,'Benchmarks by Card Role'!I$32,99,FALSE)</f>
        <v/>
      </c>
      <c r="AP34">
        <f>_xlfn.HYPGEOM.DIST($A1,$C$4,'Benchmarks by Card Role'!J$32,99,FALSE)</f>
        <v/>
      </c>
      <c r="AQ34">
        <f>_xlfn.HYPGEOM.DIST($A1,$C$4,'Benchmarks by Card Role'!K$32,99,FALSE)</f>
        <v/>
      </c>
      <c r="AR34">
        <f>_xlfn.HYPGEOM.DIST($A1,$C$4,'Benchmarks by Card Role'!L$32,99,FALSE)</f>
        <v/>
      </c>
      <c r="AT34">
        <f>_xlfn.HYPGEOM.DIST($A1,$C$4,'Benchmarks by Card Role'!D$42,99,FALSE)</f>
        <v/>
      </c>
      <c r="AU34">
        <f>_xlfn.HYPGEOM.DIST($A1,$C$4,'Benchmarks by Card Role'!E$42,99,FALSE)</f>
        <v/>
      </c>
      <c r="AV34">
        <f>_xlfn.HYPGEOM.DIST($A1,$C$4,'Benchmarks by Card Role'!F$42,99,FALSE)</f>
        <v/>
      </c>
      <c r="AW34">
        <f>_xlfn.HYPGEOM.DIST($A1,$C$4,'Benchmarks by Card Role'!G$42,99,FALSE)</f>
        <v/>
      </c>
      <c r="AX34">
        <f>_xlfn.HYPGEOM.DIST($A1,$C$4,'Benchmarks by Card Role'!H$42,99,FALSE)</f>
        <v/>
      </c>
      <c r="AY34">
        <f>_xlfn.HYPGEOM.DIST($A1,$C$4,'Benchmarks by Card Role'!I$42,99,FALSE)</f>
        <v/>
      </c>
      <c r="AZ34">
        <f>_xlfn.HYPGEOM.DIST($A1,$C$4,'Benchmarks by Card Role'!J$42,99,FALSE)</f>
        <v/>
      </c>
      <c r="BA34">
        <f>_xlfn.HYPGEOM.DIST($A1,$C$4,'Benchmarks by Card Role'!K$42,99,FALSE)</f>
        <v/>
      </c>
      <c r="BB34">
        <f>_xlfn.HYPGEOM.DIST($A1,$C$4,'Benchmarks by Card Role'!L$42,99,FALSE)</f>
        <v/>
      </c>
    </row>
    <row r="35">
      <c r="F35">
        <f>_xlfn.HYPGEOM.DIST($A2,$C$4,'Benchmarks by Card Role'!D$2,99,FALSE)</f>
        <v/>
      </c>
      <c r="G35">
        <f>_xlfn.HYPGEOM.DIST($A2,$C$4,'Benchmarks by Card Role'!E$2,99,FALSE)</f>
        <v/>
      </c>
      <c r="H35">
        <f>_xlfn.HYPGEOM.DIST($A2,$C$4,'Benchmarks by Card Role'!F$2,99,FALSE)</f>
        <v/>
      </c>
      <c r="I35">
        <f>_xlfn.HYPGEOM.DIST($A2,$C$4,'Benchmarks by Card Role'!G$2,99,FALSE)</f>
        <v/>
      </c>
      <c r="J35">
        <f>_xlfn.HYPGEOM.DIST($A2,$C$4,'Benchmarks by Card Role'!H$2,99,FALSE)</f>
        <v/>
      </c>
      <c r="K35">
        <f>_xlfn.HYPGEOM.DIST($A2,$C$4,'Benchmarks by Card Role'!I$2,99,FALSE)</f>
        <v/>
      </c>
      <c r="L35">
        <f>_xlfn.HYPGEOM.DIST($A2,$C$4,'Benchmarks by Card Role'!J$2,99,FALSE)</f>
        <v/>
      </c>
      <c r="M35">
        <f>_xlfn.HYPGEOM.DIST($A2,$C$4,'Benchmarks by Card Role'!K$2,99,FALSE)</f>
        <v/>
      </c>
      <c r="N35">
        <f>_xlfn.HYPGEOM.DIST($A2,$C$4,'Benchmarks by Card Role'!L$2,99,FALSE)</f>
        <v/>
      </c>
      <c r="P35">
        <f>_xlfn.HYPGEOM.DIST($A2,$C$4,'Benchmarks by Card Role'!D$12,99,FALSE)</f>
        <v/>
      </c>
      <c r="Q35">
        <f>_xlfn.HYPGEOM.DIST($A2,$C$4,'Benchmarks by Card Role'!E$12,99,FALSE)</f>
        <v/>
      </c>
      <c r="R35">
        <f>_xlfn.HYPGEOM.DIST($A2,$C$4,'Benchmarks by Card Role'!F$12,99,FALSE)</f>
        <v/>
      </c>
      <c r="S35">
        <f>_xlfn.HYPGEOM.DIST($A2,$C$4,'Benchmarks by Card Role'!G$12,99,FALSE)</f>
        <v/>
      </c>
      <c r="T35">
        <f>_xlfn.HYPGEOM.DIST($A2,$C$4,'Benchmarks by Card Role'!H$12,99,FALSE)</f>
        <v/>
      </c>
      <c r="U35">
        <f>_xlfn.HYPGEOM.DIST($A2,$C$4,'Benchmarks by Card Role'!I$12,99,FALSE)</f>
        <v/>
      </c>
      <c r="V35">
        <f>_xlfn.HYPGEOM.DIST($A2,$C$4,'Benchmarks by Card Role'!J$12,99,FALSE)</f>
        <v/>
      </c>
      <c r="W35">
        <f>_xlfn.HYPGEOM.DIST($A2,$C$4,'Benchmarks by Card Role'!K$12,99,FALSE)</f>
        <v/>
      </c>
      <c r="X35">
        <f>_xlfn.HYPGEOM.DIST($A2,$C$4,'Benchmarks by Card Role'!L$12,99,FALSE)</f>
        <v/>
      </c>
      <c r="Z35">
        <f>_xlfn.HYPGEOM.DIST($A2,$C$4,'Benchmarks by Card Role'!D$22,99,FALSE)</f>
        <v/>
      </c>
      <c r="AA35">
        <f>_xlfn.HYPGEOM.DIST($A2,$C$4,'Benchmarks by Card Role'!E$22,99,FALSE)</f>
        <v/>
      </c>
      <c r="AB35">
        <f>_xlfn.HYPGEOM.DIST($A2,$C$4,'Benchmarks by Card Role'!F$22,99,FALSE)</f>
        <v/>
      </c>
      <c r="AC35">
        <f>_xlfn.HYPGEOM.DIST($A2,$C$4,'Benchmarks by Card Role'!G$22,99,FALSE)</f>
        <v/>
      </c>
      <c r="AD35">
        <f>_xlfn.HYPGEOM.DIST($A2,$C$4,'Benchmarks by Card Role'!H$22,99,FALSE)</f>
        <v/>
      </c>
      <c r="AE35">
        <f>_xlfn.HYPGEOM.DIST($A2,$C$4,'Benchmarks by Card Role'!I$22,99,FALSE)</f>
        <v/>
      </c>
      <c r="AF35">
        <f>_xlfn.HYPGEOM.DIST($A2,$C$4,'Benchmarks by Card Role'!J$22,99,FALSE)</f>
        <v/>
      </c>
      <c r="AG35">
        <f>_xlfn.HYPGEOM.DIST($A2,$C$4,'Benchmarks by Card Role'!K$22,99,FALSE)</f>
        <v/>
      </c>
      <c r="AH35">
        <f>_xlfn.HYPGEOM.DIST($A2,$C$4,'Benchmarks by Card Role'!L$22,99,FALSE)</f>
        <v/>
      </c>
      <c r="AJ35">
        <f>_xlfn.HYPGEOM.DIST($A2,$C$4,'Benchmarks by Card Role'!D$32,99,FALSE)</f>
        <v/>
      </c>
      <c r="AK35">
        <f>_xlfn.HYPGEOM.DIST($A2,$C$4,'Benchmarks by Card Role'!E$32,99,FALSE)</f>
        <v/>
      </c>
      <c r="AL35">
        <f>_xlfn.HYPGEOM.DIST($A2,$C$4,'Benchmarks by Card Role'!F$32,99,FALSE)</f>
        <v/>
      </c>
      <c r="AM35">
        <f>_xlfn.HYPGEOM.DIST($A2,$C$4,'Benchmarks by Card Role'!G$32,99,FALSE)</f>
        <v/>
      </c>
      <c r="AN35">
        <f>_xlfn.HYPGEOM.DIST($A2,$C$4,'Benchmarks by Card Role'!H$32,99,FALSE)</f>
        <v/>
      </c>
      <c r="AO35">
        <f>_xlfn.HYPGEOM.DIST($A2,$C$4,'Benchmarks by Card Role'!I$32,99,FALSE)</f>
        <v/>
      </c>
      <c r="AP35">
        <f>_xlfn.HYPGEOM.DIST($A2,$C$4,'Benchmarks by Card Role'!J$32,99,FALSE)</f>
        <v/>
      </c>
      <c r="AQ35">
        <f>_xlfn.HYPGEOM.DIST($A2,$C$4,'Benchmarks by Card Role'!K$32,99,FALSE)</f>
        <v/>
      </c>
      <c r="AR35">
        <f>_xlfn.HYPGEOM.DIST($A2,$C$4,'Benchmarks by Card Role'!L$32,99,FALSE)</f>
        <v/>
      </c>
      <c r="AT35">
        <f>_xlfn.HYPGEOM.DIST($A2,$C$4,'Benchmarks by Card Role'!D$42,99,FALSE)</f>
        <v/>
      </c>
      <c r="AU35">
        <f>_xlfn.HYPGEOM.DIST($A2,$C$4,'Benchmarks by Card Role'!E$42,99,FALSE)</f>
        <v/>
      </c>
      <c r="AV35">
        <f>_xlfn.HYPGEOM.DIST($A2,$C$4,'Benchmarks by Card Role'!F$42,99,FALSE)</f>
        <v/>
      </c>
      <c r="AW35">
        <f>_xlfn.HYPGEOM.DIST($A2,$C$4,'Benchmarks by Card Role'!G$42,99,FALSE)</f>
        <v/>
      </c>
      <c r="AX35">
        <f>_xlfn.HYPGEOM.DIST($A2,$C$4,'Benchmarks by Card Role'!H$42,99,FALSE)</f>
        <v/>
      </c>
      <c r="AY35">
        <f>_xlfn.HYPGEOM.DIST($A2,$C$4,'Benchmarks by Card Role'!I$42,99,FALSE)</f>
        <v/>
      </c>
      <c r="AZ35">
        <f>_xlfn.HYPGEOM.DIST($A2,$C$4,'Benchmarks by Card Role'!J$42,99,FALSE)</f>
        <v/>
      </c>
      <c r="BA35">
        <f>_xlfn.HYPGEOM.DIST($A2,$C$4,'Benchmarks by Card Role'!K$42,99,FALSE)</f>
        <v/>
      </c>
      <c r="BB35">
        <f>_xlfn.HYPGEOM.DIST($A2,$C$4,'Benchmarks by Card Role'!L$42,99,FALSE)</f>
        <v/>
      </c>
    </row>
    <row r="36">
      <c r="F36">
        <f>_xlfn.HYPGEOM.DIST($A3,$C$4,'Benchmarks by Card Role'!D$2,99,FALSE)</f>
        <v/>
      </c>
      <c r="G36">
        <f>_xlfn.HYPGEOM.DIST($A3,$C$4,'Benchmarks by Card Role'!E$2,99,FALSE)</f>
        <v/>
      </c>
      <c r="H36">
        <f>_xlfn.HYPGEOM.DIST($A3,$C$4,'Benchmarks by Card Role'!F$2,99,FALSE)</f>
        <v/>
      </c>
      <c r="I36">
        <f>_xlfn.HYPGEOM.DIST($A3,$C$4,'Benchmarks by Card Role'!G$2,99,FALSE)</f>
        <v/>
      </c>
      <c r="J36">
        <f>_xlfn.HYPGEOM.DIST($A3,$C$4,'Benchmarks by Card Role'!H$2,99,FALSE)</f>
        <v/>
      </c>
      <c r="K36">
        <f>_xlfn.HYPGEOM.DIST($A3,$C$4,'Benchmarks by Card Role'!I$2,99,FALSE)</f>
        <v/>
      </c>
      <c r="L36">
        <f>_xlfn.HYPGEOM.DIST($A3,$C$4,'Benchmarks by Card Role'!J$2,99,FALSE)</f>
        <v/>
      </c>
      <c r="M36">
        <f>_xlfn.HYPGEOM.DIST($A3,$C$4,'Benchmarks by Card Role'!K$2,99,FALSE)</f>
        <v/>
      </c>
      <c r="N36">
        <f>_xlfn.HYPGEOM.DIST($A3,$C$4,'Benchmarks by Card Role'!L$2,99,FALSE)</f>
        <v/>
      </c>
      <c r="P36">
        <f>_xlfn.HYPGEOM.DIST($A3,$C$4,'Benchmarks by Card Role'!D$12,99,FALSE)</f>
        <v/>
      </c>
      <c r="Q36">
        <f>_xlfn.HYPGEOM.DIST($A3,$C$4,'Benchmarks by Card Role'!E$12,99,FALSE)</f>
        <v/>
      </c>
      <c r="R36">
        <f>_xlfn.HYPGEOM.DIST($A3,$C$4,'Benchmarks by Card Role'!F$12,99,FALSE)</f>
        <v/>
      </c>
      <c r="S36">
        <f>_xlfn.HYPGEOM.DIST($A3,$C$4,'Benchmarks by Card Role'!G$12,99,FALSE)</f>
        <v/>
      </c>
      <c r="T36">
        <f>_xlfn.HYPGEOM.DIST($A3,$C$4,'Benchmarks by Card Role'!H$12,99,FALSE)</f>
        <v/>
      </c>
      <c r="U36">
        <f>_xlfn.HYPGEOM.DIST($A3,$C$4,'Benchmarks by Card Role'!I$12,99,FALSE)</f>
        <v/>
      </c>
      <c r="V36">
        <f>_xlfn.HYPGEOM.DIST($A3,$C$4,'Benchmarks by Card Role'!J$12,99,FALSE)</f>
        <v/>
      </c>
      <c r="W36">
        <f>_xlfn.HYPGEOM.DIST($A3,$C$4,'Benchmarks by Card Role'!K$12,99,FALSE)</f>
        <v/>
      </c>
      <c r="X36">
        <f>_xlfn.HYPGEOM.DIST($A3,$C$4,'Benchmarks by Card Role'!L$12,99,FALSE)</f>
        <v/>
      </c>
      <c r="Z36">
        <f>_xlfn.HYPGEOM.DIST($A3,$C$4,'Benchmarks by Card Role'!D$22,99,FALSE)</f>
        <v/>
      </c>
      <c r="AA36">
        <f>_xlfn.HYPGEOM.DIST($A3,$C$4,'Benchmarks by Card Role'!E$22,99,FALSE)</f>
        <v/>
      </c>
      <c r="AB36">
        <f>_xlfn.HYPGEOM.DIST($A3,$C$4,'Benchmarks by Card Role'!F$22,99,FALSE)</f>
        <v/>
      </c>
      <c r="AC36">
        <f>_xlfn.HYPGEOM.DIST($A3,$C$4,'Benchmarks by Card Role'!G$22,99,FALSE)</f>
        <v/>
      </c>
      <c r="AD36">
        <f>_xlfn.HYPGEOM.DIST($A3,$C$4,'Benchmarks by Card Role'!H$22,99,FALSE)</f>
        <v/>
      </c>
      <c r="AE36">
        <f>_xlfn.HYPGEOM.DIST($A3,$C$4,'Benchmarks by Card Role'!I$22,99,FALSE)</f>
        <v/>
      </c>
      <c r="AF36">
        <f>_xlfn.HYPGEOM.DIST($A3,$C$4,'Benchmarks by Card Role'!J$22,99,FALSE)</f>
        <v/>
      </c>
      <c r="AG36">
        <f>_xlfn.HYPGEOM.DIST($A3,$C$4,'Benchmarks by Card Role'!K$22,99,FALSE)</f>
        <v/>
      </c>
      <c r="AH36">
        <f>_xlfn.HYPGEOM.DIST($A3,$C$4,'Benchmarks by Card Role'!L$22,99,FALSE)</f>
        <v/>
      </c>
      <c r="AJ36">
        <f>_xlfn.HYPGEOM.DIST($A3,$C$4,'Benchmarks by Card Role'!D$32,99,FALSE)</f>
        <v/>
      </c>
      <c r="AK36">
        <f>_xlfn.HYPGEOM.DIST($A3,$C$4,'Benchmarks by Card Role'!E$32,99,FALSE)</f>
        <v/>
      </c>
      <c r="AL36">
        <f>_xlfn.HYPGEOM.DIST($A3,$C$4,'Benchmarks by Card Role'!F$32,99,FALSE)</f>
        <v/>
      </c>
      <c r="AM36">
        <f>_xlfn.HYPGEOM.DIST($A3,$C$4,'Benchmarks by Card Role'!G$32,99,FALSE)</f>
        <v/>
      </c>
      <c r="AN36">
        <f>_xlfn.HYPGEOM.DIST($A3,$C$4,'Benchmarks by Card Role'!H$32,99,FALSE)</f>
        <v/>
      </c>
      <c r="AO36">
        <f>_xlfn.HYPGEOM.DIST($A3,$C$4,'Benchmarks by Card Role'!I$32,99,FALSE)</f>
        <v/>
      </c>
      <c r="AP36">
        <f>_xlfn.HYPGEOM.DIST($A3,$C$4,'Benchmarks by Card Role'!J$32,99,FALSE)</f>
        <v/>
      </c>
      <c r="AQ36">
        <f>_xlfn.HYPGEOM.DIST($A3,$C$4,'Benchmarks by Card Role'!K$32,99,FALSE)</f>
        <v/>
      </c>
      <c r="AR36">
        <f>_xlfn.HYPGEOM.DIST($A3,$C$4,'Benchmarks by Card Role'!L$32,99,FALSE)</f>
        <v/>
      </c>
      <c r="AT36">
        <f>_xlfn.HYPGEOM.DIST($A3,$C$4,'Benchmarks by Card Role'!D$42,99,FALSE)</f>
        <v/>
      </c>
      <c r="AU36">
        <f>_xlfn.HYPGEOM.DIST($A3,$C$4,'Benchmarks by Card Role'!E$42,99,FALSE)</f>
        <v/>
      </c>
      <c r="AV36">
        <f>_xlfn.HYPGEOM.DIST($A3,$C$4,'Benchmarks by Card Role'!F$42,99,FALSE)</f>
        <v/>
      </c>
      <c r="AW36">
        <f>_xlfn.HYPGEOM.DIST($A3,$C$4,'Benchmarks by Card Role'!G$42,99,FALSE)</f>
        <v/>
      </c>
      <c r="AX36">
        <f>_xlfn.HYPGEOM.DIST($A3,$C$4,'Benchmarks by Card Role'!H$42,99,FALSE)</f>
        <v/>
      </c>
      <c r="AY36">
        <f>_xlfn.HYPGEOM.DIST($A3,$C$4,'Benchmarks by Card Role'!I$42,99,FALSE)</f>
        <v/>
      </c>
      <c r="AZ36">
        <f>_xlfn.HYPGEOM.DIST($A3,$C$4,'Benchmarks by Card Role'!J$42,99,FALSE)</f>
        <v/>
      </c>
      <c r="BA36">
        <f>_xlfn.HYPGEOM.DIST($A3,$C$4,'Benchmarks by Card Role'!K$42,99,FALSE)</f>
        <v/>
      </c>
      <c r="BB36">
        <f>_xlfn.HYPGEOM.DIST($A3,$C$4,'Benchmarks by Card Role'!L$42,99,FALSE)</f>
        <v/>
      </c>
    </row>
    <row r="37">
      <c r="F37">
        <f>_xlfn.HYPGEOM.DIST($A4,$C$4,'Benchmarks by Card Role'!D$2,99,FALSE)</f>
        <v/>
      </c>
      <c r="G37">
        <f>_xlfn.HYPGEOM.DIST($A4,$C$4,'Benchmarks by Card Role'!E$2,99,FALSE)</f>
        <v/>
      </c>
      <c r="H37">
        <f>_xlfn.HYPGEOM.DIST($A4,$C$4,'Benchmarks by Card Role'!F$2,99,FALSE)</f>
        <v/>
      </c>
      <c r="I37">
        <f>_xlfn.HYPGEOM.DIST($A4,$C$4,'Benchmarks by Card Role'!G$2,99,FALSE)</f>
        <v/>
      </c>
      <c r="J37">
        <f>_xlfn.HYPGEOM.DIST($A4,$C$4,'Benchmarks by Card Role'!H$2,99,FALSE)</f>
        <v/>
      </c>
      <c r="K37">
        <f>_xlfn.HYPGEOM.DIST($A4,$C$4,'Benchmarks by Card Role'!I$2,99,FALSE)</f>
        <v/>
      </c>
      <c r="L37">
        <f>_xlfn.HYPGEOM.DIST($A4,$C$4,'Benchmarks by Card Role'!J$2,99,FALSE)</f>
        <v/>
      </c>
      <c r="M37">
        <f>_xlfn.HYPGEOM.DIST($A4,$C$4,'Benchmarks by Card Role'!K$2,99,FALSE)</f>
        <v/>
      </c>
      <c r="N37">
        <f>_xlfn.HYPGEOM.DIST($A4,$C$4,'Benchmarks by Card Role'!L$2,99,FALSE)</f>
        <v/>
      </c>
      <c r="P37">
        <f>_xlfn.HYPGEOM.DIST($A4,$C$4,'Benchmarks by Card Role'!D$12,99,FALSE)</f>
        <v/>
      </c>
      <c r="Q37">
        <f>_xlfn.HYPGEOM.DIST($A4,$C$4,'Benchmarks by Card Role'!E$12,99,FALSE)</f>
        <v/>
      </c>
      <c r="R37">
        <f>_xlfn.HYPGEOM.DIST($A4,$C$4,'Benchmarks by Card Role'!F$12,99,FALSE)</f>
        <v/>
      </c>
      <c r="S37">
        <f>_xlfn.HYPGEOM.DIST($A4,$C$4,'Benchmarks by Card Role'!G$12,99,FALSE)</f>
        <v/>
      </c>
      <c r="T37">
        <f>_xlfn.HYPGEOM.DIST($A4,$C$4,'Benchmarks by Card Role'!H$12,99,FALSE)</f>
        <v/>
      </c>
      <c r="U37">
        <f>_xlfn.HYPGEOM.DIST($A4,$C$4,'Benchmarks by Card Role'!I$12,99,FALSE)</f>
        <v/>
      </c>
      <c r="V37">
        <f>_xlfn.HYPGEOM.DIST($A4,$C$4,'Benchmarks by Card Role'!J$12,99,FALSE)</f>
        <v/>
      </c>
      <c r="W37">
        <f>_xlfn.HYPGEOM.DIST($A4,$C$4,'Benchmarks by Card Role'!K$12,99,FALSE)</f>
        <v/>
      </c>
      <c r="X37">
        <f>_xlfn.HYPGEOM.DIST($A4,$C$4,'Benchmarks by Card Role'!L$12,99,FALSE)</f>
        <v/>
      </c>
      <c r="Z37">
        <f>_xlfn.HYPGEOM.DIST($A4,$C$4,'Benchmarks by Card Role'!D$22,99,FALSE)</f>
        <v/>
      </c>
      <c r="AA37">
        <f>_xlfn.HYPGEOM.DIST($A4,$C$4,'Benchmarks by Card Role'!E$22,99,FALSE)</f>
        <v/>
      </c>
      <c r="AB37">
        <f>_xlfn.HYPGEOM.DIST($A4,$C$4,'Benchmarks by Card Role'!F$22,99,FALSE)</f>
        <v/>
      </c>
      <c r="AC37">
        <f>_xlfn.HYPGEOM.DIST($A4,$C$4,'Benchmarks by Card Role'!G$22,99,FALSE)</f>
        <v/>
      </c>
      <c r="AD37">
        <f>_xlfn.HYPGEOM.DIST($A4,$C$4,'Benchmarks by Card Role'!H$22,99,FALSE)</f>
        <v/>
      </c>
      <c r="AE37">
        <f>_xlfn.HYPGEOM.DIST($A4,$C$4,'Benchmarks by Card Role'!I$22,99,FALSE)</f>
        <v/>
      </c>
      <c r="AF37">
        <f>_xlfn.HYPGEOM.DIST($A4,$C$4,'Benchmarks by Card Role'!J$22,99,FALSE)</f>
        <v/>
      </c>
      <c r="AG37">
        <f>_xlfn.HYPGEOM.DIST($A4,$C$4,'Benchmarks by Card Role'!K$22,99,FALSE)</f>
        <v/>
      </c>
      <c r="AH37">
        <f>_xlfn.HYPGEOM.DIST($A4,$C$4,'Benchmarks by Card Role'!L$22,99,FALSE)</f>
        <v/>
      </c>
      <c r="AJ37">
        <f>_xlfn.HYPGEOM.DIST($A4,$C$4,'Benchmarks by Card Role'!D$32,99,FALSE)</f>
        <v/>
      </c>
      <c r="AK37">
        <f>_xlfn.HYPGEOM.DIST($A4,$C$4,'Benchmarks by Card Role'!E$32,99,FALSE)</f>
        <v/>
      </c>
      <c r="AL37">
        <f>_xlfn.HYPGEOM.DIST($A4,$C$4,'Benchmarks by Card Role'!F$32,99,FALSE)</f>
        <v/>
      </c>
      <c r="AM37">
        <f>_xlfn.HYPGEOM.DIST($A4,$C$4,'Benchmarks by Card Role'!G$32,99,FALSE)</f>
        <v/>
      </c>
      <c r="AN37">
        <f>_xlfn.HYPGEOM.DIST($A4,$C$4,'Benchmarks by Card Role'!H$32,99,FALSE)</f>
        <v/>
      </c>
      <c r="AO37">
        <f>_xlfn.HYPGEOM.DIST($A4,$C$4,'Benchmarks by Card Role'!I$32,99,FALSE)</f>
        <v/>
      </c>
      <c r="AP37">
        <f>_xlfn.HYPGEOM.DIST($A4,$C$4,'Benchmarks by Card Role'!J$32,99,FALSE)</f>
        <v/>
      </c>
      <c r="AQ37">
        <f>_xlfn.HYPGEOM.DIST($A4,$C$4,'Benchmarks by Card Role'!K$32,99,FALSE)</f>
        <v/>
      </c>
      <c r="AR37">
        <f>_xlfn.HYPGEOM.DIST($A4,$C$4,'Benchmarks by Card Role'!L$32,99,FALSE)</f>
        <v/>
      </c>
      <c r="AT37">
        <f>_xlfn.HYPGEOM.DIST($A4,$C$4,'Benchmarks by Card Role'!D$42,99,FALSE)</f>
        <v/>
      </c>
      <c r="AU37">
        <f>_xlfn.HYPGEOM.DIST($A4,$C$4,'Benchmarks by Card Role'!E$42,99,FALSE)</f>
        <v/>
      </c>
      <c r="AV37">
        <f>_xlfn.HYPGEOM.DIST($A4,$C$4,'Benchmarks by Card Role'!F$42,99,FALSE)</f>
        <v/>
      </c>
      <c r="AW37">
        <f>_xlfn.HYPGEOM.DIST($A4,$C$4,'Benchmarks by Card Role'!G$42,99,FALSE)</f>
        <v/>
      </c>
      <c r="AX37">
        <f>_xlfn.HYPGEOM.DIST($A4,$C$4,'Benchmarks by Card Role'!H$42,99,FALSE)</f>
        <v/>
      </c>
      <c r="AY37">
        <f>_xlfn.HYPGEOM.DIST($A4,$C$4,'Benchmarks by Card Role'!I$42,99,FALSE)</f>
        <v/>
      </c>
      <c r="AZ37">
        <f>_xlfn.HYPGEOM.DIST($A4,$C$4,'Benchmarks by Card Role'!J$42,99,FALSE)</f>
        <v/>
      </c>
      <c r="BA37">
        <f>_xlfn.HYPGEOM.DIST($A4,$C$4,'Benchmarks by Card Role'!K$42,99,FALSE)</f>
        <v/>
      </c>
      <c r="BB37">
        <f>_xlfn.HYPGEOM.DIST($A4,$C$4,'Benchmarks by Card Role'!L$42,99,FALSE)</f>
        <v/>
      </c>
    </row>
    <row r="38">
      <c r="F38">
        <f>_xlfn.HYPGEOM.DIST($A5,$C$4,'Benchmarks by Card Role'!D$2,99,FALSE)</f>
        <v/>
      </c>
      <c r="G38">
        <f>_xlfn.HYPGEOM.DIST($A5,$C$4,'Benchmarks by Card Role'!E$2,99,FALSE)</f>
        <v/>
      </c>
      <c r="H38">
        <f>_xlfn.HYPGEOM.DIST($A5,$C$4,'Benchmarks by Card Role'!F$2,99,FALSE)</f>
        <v/>
      </c>
      <c r="I38">
        <f>_xlfn.HYPGEOM.DIST($A5,$C$4,'Benchmarks by Card Role'!G$2,99,FALSE)</f>
        <v/>
      </c>
      <c r="J38">
        <f>_xlfn.HYPGEOM.DIST($A5,$C$4,'Benchmarks by Card Role'!H$2,99,FALSE)</f>
        <v/>
      </c>
      <c r="K38">
        <f>_xlfn.HYPGEOM.DIST($A5,$C$4,'Benchmarks by Card Role'!I$2,99,FALSE)</f>
        <v/>
      </c>
      <c r="L38">
        <f>_xlfn.HYPGEOM.DIST($A5,$C$4,'Benchmarks by Card Role'!J$2,99,FALSE)</f>
        <v/>
      </c>
      <c r="M38">
        <f>_xlfn.HYPGEOM.DIST($A5,$C$4,'Benchmarks by Card Role'!K$2,99,FALSE)</f>
        <v/>
      </c>
      <c r="N38">
        <f>_xlfn.HYPGEOM.DIST($A5,$C$4,'Benchmarks by Card Role'!L$2,99,FALSE)</f>
        <v/>
      </c>
      <c r="P38">
        <f>_xlfn.HYPGEOM.DIST($A5,$C$4,'Benchmarks by Card Role'!D$12,99,FALSE)</f>
        <v/>
      </c>
      <c r="Q38">
        <f>_xlfn.HYPGEOM.DIST($A5,$C$4,'Benchmarks by Card Role'!E$12,99,FALSE)</f>
        <v/>
      </c>
      <c r="R38">
        <f>_xlfn.HYPGEOM.DIST($A5,$C$4,'Benchmarks by Card Role'!F$12,99,FALSE)</f>
        <v/>
      </c>
      <c r="S38">
        <f>_xlfn.HYPGEOM.DIST($A5,$C$4,'Benchmarks by Card Role'!G$12,99,FALSE)</f>
        <v/>
      </c>
      <c r="T38">
        <f>_xlfn.HYPGEOM.DIST($A5,$C$4,'Benchmarks by Card Role'!H$12,99,FALSE)</f>
        <v/>
      </c>
      <c r="U38">
        <f>_xlfn.HYPGEOM.DIST($A5,$C$4,'Benchmarks by Card Role'!I$12,99,FALSE)</f>
        <v/>
      </c>
      <c r="V38">
        <f>_xlfn.HYPGEOM.DIST($A5,$C$4,'Benchmarks by Card Role'!J$12,99,FALSE)</f>
        <v/>
      </c>
      <c r="W38">
        <f>_xlfn.HYPGEOM.DIST($A5,$C$4,'Benchmarks by Card Role'!K$12,99,FALSE)</f>
        <v/>
      </c>
      <c r="X38">
        <f>_xlfn.HYPGEOM.DIST($A5,$C$4,'Benchmarks by Card Role'!L$12,99,FALSE)</f>
        <v/>
      </c>
      <c r="Z38">
        <f>_xlfn.HYPGEOM.DIST($A5,$C$4,'Benchmarks by Card Role'!D$22,99,FALSE)</f>
        <v/>
      </c>
      <c r="AA38">
        <f>_xlfn.HYPGEOM.DIST($A5,$C$4,'Benchmarks by Card Role'!E$22,99,FALSE)</f>
        <v/>
      </c>
      <c r="AB38">
        <f>_xlfn.HYPGEOM.DIST($A5,$C$4,'Benchmarks by Card Role'!F$22,99,FALSE)</f>
        <v/>
      </c>
      <c r="AC38">
        <f>_xlfn.HYPGEOM.DIST($A5,$C$4,'Benchmarks by Card Role'!G$22,99,FALSE)</f>
        <v/>
      </c>
      <c r="AD38">
        <f>_xlfn.HYPGEOM.DIST($A5,$C$4,'Benchmarks by Card Role'!H$22,99,FALSE)</f>
        <v/>
      </c>
      <c r="AE38">
        <f>_xlfn.HYPGEOM.DIST($A5,$C$4,'Benchmarks by Card Role'!I$22,99,FALSE)</f>
        <v/>
      </c>
      <c r="AF38">
        <f>_xlfn.HYPGEOM.DIST($A5,$C$4,'Benchmarks by Card Role'!J$22,99,FALSE)</f>
        <v/>
      </c>
      <c r="AG38">
        <f>_xlfn.HYPGEOM.DIST($A5,$C$4,'Benchmarks by Card Role'!K$22,99,FALSE)</f>
        <v/>
      </c>
      <c r="AH38">
        <f>_xlfn.HYPGEOM.DIST($A5,$C$4,'Benchmarks by Card Role'!L$22,99,FALSE)</f>
        <v/>
      </c>
      <c r="AJ38">
        <f>_xlfn.HYPGEOM.DIST($A5,$C$4,'Benchmarks by Card Role'!D$32,99,FALSE)</f>
        <v/>
      </c>
      <c r="AK38">
        <f>_xlfn.HYPGEOM.DIST($A5,$C$4,'Benchmarks by Card Role'!E$32,99,FALSE)</f>
        <v/>
      </c>
      <c r="AL38">
        <f>_xlfn.HYPGEOM.DIST($A5,$C$4,'Benchmarks by Card Role'!F$32,99,FALSE)</f>
        <v/>
      </c>
      <c r="AM38">
        <f>_xlfn.HYPGEOM.DIST($A5,$C$4,'Benchmarks by Card Role'!G$32,99,FALSE)</f>
        <v/>
      </c>
      <c r="AN38">
        <f>_xlfn.HYPGEOM.DIST($A5,$C$4,'Benchmarks by Card Role'!H$32,99,FALSE)</f>
        <v/>
      </c>
      <c r="AO38">
        <f>_xlfn.HYPGEOM.DIST($A5,$C$4,'Benchmarks by Card Role'!I$32,99,FALSE)</f>
        <v/>
      </c>
      <c r="AP38">
        <f>_xlfn.HYPGEOM.DIST($A5,$C$4,'Benchmarks by Card Role'!J$32,99,FALSE)</f>
        <v/>
      </c>
      <c r="AQ38">
        <f>_xlfn.HYPGEOM.DIST($A5,$C$4,'Benchmarks by Card Role'!K$32,99,FALSE)</f>
        <v/>
      </c>
      <c r="AR38">
        <f>_xlfn.HYPGEOM.DIST($A5,$C$4,'Benchmarks by Card Role'!L$32,99,FALSE)</f>
        <v/>
      </c>
      <c r="AT38">
        <f>_xlfn.HYPGEOM.DIST($A5,$C$4,'Benchmarks by Card Role'!D$42,99,FALSE)</f>
        <v/>
      </c>
      <c r="AU38">
        <f>_xlfn.HYPGEOM.DIST($A5,$C$4,'Benchmarks by Card Role'!E$42,99,FALSE)</f>
        <v/>
      </c>
      <c r="AV38">
        <f>_xlfn.HYPGEOM.DIST($A5,$C$4,'Benchmarks by Card Role'!F$42,99,FALSE)</f>
        <v/>
      </c>
      <c r="AW38">
        <f>_xlfn.HYPGEOM.DIST($A5,$C$4,'Benchmarks by Card Role'!G$42,99,FALSE)</f>
        <v/>
      </c>
      <c r="AX38">
        <f>_xlfn.HYPGEOM.DIST($A5,$C$4,'Benchmarks by Card Role'!H$42,99,FALSE)</f>
        <v/>
      </c>
      <c r="AY38">
        <f>_xlfn.HYPGEOM.DIST($A5,$C$4,'Benchmarks by Card Role'!I$42,99,FALSE)</f>
        <v/>
      </c>
      <c r="AZ38">
        <f>_xlfn.HYPGEOM.DIST($A5,$C$4,'Benchmarks by Card Role'!J$42,99,FALSE)</f>
        <v/>
      </c>
      <c r="BA38">
        <f>_xlfn.HYPGEOM.DIST($A5,$C$4,'Benchmarks by Card Role'!K$42,99,FALSE)</f>
        <v/>
      </c>
      <c r="BB38">
        <f>_xlfn.HYPGEOM.DIST($A5,$C$4,'Benchmarks by Card Role'!L$42,99,FALSE)</f>
        <v/>
      </c>
    </row>
    <row r="39">
      <c r="F39">
        <f>_xlfn.HYPGEOM.DIST($A6,$C$4,'Benchmarks by Card Role'!D$2,99,FALSE)</f>
        <v/>
      </c>
      <c r="G39">
        <f>_xlfn.HYPGEOM.DIST($A6,$C$4,'Benchmarks by Card Role'!E$2,99,FALSE)</f>
        <v/>
      </c>
      <c r="H39">
        <f>_xlfn.HYPGEOM.DIST($A6,$C$4,'Benchmarks by Card Role'!F$2,99,FALSE)</f>
        <v/>
      </c>
      <c r="I39">
        <f>_xlfn.HYPGEOM.DIST($A6,$C$4,'Benchmarks by Card Role'!G$2,99,FALSE)</f>
        <v/>
      </c>
      <c r="J39">
        <f>_xlfn.HYPGEOM.DIST($A6,$C$4,'Benchmarks by Card Role'!H$2,99,FALSE)</f>
        <v/>
      </c>
      <c r="K39">
        <f>_xlfn.HYPGEOM.DIST($A6,$C$4,'Benchmarks by Card Role'!I$2,99,FALSE)</f>
        <v/>
      </c>
      <c r="L39">
        <f>_xlfn.HYPGEOM.DIST($A6,$C$4,'Benchmarks by Card Role'!J$2,99,FALSE)</f>
        <v/>
      </c>
      <c r="M39">
        <f>_xlfn.HYPGEOM.DIST($A6,$C$4,'Benchmarks by Card Role'!K$2,99,FALSE)</f>
        <v/>
      </c>
      <c r="N39">
        <f>_xlfn.HYPGEOM.DIST($A6,$C$4,'Benchmarks by Card Role'!L$2,99,FALSE)</f>
        <v/>
      </c>
      <c r="P39">
        <f>_xlfn.HYPGEOM.DIST($A6,$C$4,'Benchmarks by Card Role'!D$12,99,FALSE)</f>
        <v/>
      </c>
      <c r="Q39">
        <f>_xlfn.HYPGEOM.DIST($A6,$C$4,'Benchmarks by Card Role'!E$12,99,FALSE)</f>
        <v/>
      </c>
      <c r="R39">
        <f>_xlfn.HYPGEOM.DIST($A6,$C$4,'Benchmarks by Card Role'!F$12,99,FALSE)</f>
        <v/>
      </c>
      <c r="S39">
        <f>_xlfn.HYPGEOM.DIST($A6,$C$4,'Benchmarks by Card Role'!G$12,99,FALSE)</f>
        <v/>
      </c>
      <c r="T39">
        <f>_xlfn.HYPGEOM.DIST($A6,$C$4,'Benchmarks by Card Role'!H$12,99,FALSE)</f>
        <v/>
      </c>
      <c r="U39">
        <f>_xlfn.HYPGEOM.DIST($A6,$C$4,'Benchmarks by Card Role'!I$12,99,FALSE)</f>
        <v/>
      </c>
      <c r="V39">
        <f>_xlfn.HYPGEOM.DIST($A6,$C$4,'Benchmarks by Card Role'!J$12,99,FALSE)</f>
        <v/>
      </c>
      <c r="W39">
        <f>_xlfn.HYPGEOM.DIST($A6,$C$4,'Benchmarks by Card Role'!K$12,99,FALSE)</f>
        <v/>
      </c>
      <c r="X39">
        <f>_xlfn.HYPGEOM.DIST($A6,$C$4,'Benchmarks by Card Role'!L$12,99,FALSE)</f>
        <v/>
      </c>
      <c r="Z39">
        <f>_xlfn.HYPGEOM.DIST($A6,$C$4,'Benchmarks by Card Role'!D$22,99,FALSE)</f>
        <v/>
      </c>
      <c r="AA39">
        <f>_xlfn.HYPGEOM.DIST($A6,$C$4,'Benchmarks by Card Role'!E$22,99,FALSE)</f>
        <v/>
      </c>
      <c r="AB39">
        <f>_xlfn.HYPGEOM.DIST($A6,$C$4,'Benchmarks by Card Role'!F$22,99,FALSE)</f>
        <v/>
      </c>
      <c r="AC39">
        <f>_xlfn.HYPGEOM.DIST($A6,$C$4,'Benchmarks by Card Role'!G$22,99,FALSE)</f>
        <v/>
      </c>
      <c r="AD39">
        <f>_xlfn.HYPGEOM.DIST($A6,$C$4,'Benchmarks by Card Role'!H$22,99,FALSE)</f>
        <v/>
      </c>
      <c r="AE39">
        <f>_xlfn.HYPGEOM.DIST($A6,$C$4,'Benchmarks by Card Role'!I$22,99,FALSE)</f>
        <v/>
      </c>
      <c r="AF39">
        <f>_xlfn.HYPGEOM.DIST($A6,$C$4,'Benchmarks by Card Role'!J$22,99,FALSE)</f>
        <v/>
      </c>
      <c r="AG39">
        <f>_xlfn.HYPGEOM.DIST($A6,$C$4,'Benchmarks by Card Role'!K$22,99,FALSE)</f>
        <v/>
      </c>
      <c r="AH39">
        <f>_xlfn.HYPGEOM.DIST($A6,$C$4,'Benchmarks by Card Role'!L$22,99,FALSE)</f>
        <v/>
      </c>
      <c r="AJ39">
        <f>_xlfn.HYPGEOM.DIST($A6,$C$4,'Benchmarks by Card Role'!D$32,99,FALSE)</f>
        <v/>
      </c>
      <c r="AK39">
        <f>_xlfn.HYPGEOM.DIST($A6,$C$4,'Benchmarks by Card Role'!E$32,99,FALSE)</f>
        <v/>
      </c>
      <c r="AL39">
        <f>_xlfn.HYPGEOM.DIST($A6,$C$4,'Benchmarks by Card Role'!F$32,99,FALSE)</f>
        <v/>
      </c>
      <c r="AM39">
        <f>_xlfn.HYPGEOM.DIST($A6,$C$4,'Benchmarks by Card Role'!G$32,99,FALSE)</f>
        <v/>
      </c>
      <c r="AN39">
        <f>_xlfn.HYPGEOM.DIST($A6,$C$4,'Benchmarks by Card Role'!H$32,99,FALSE)</f>
        <v/>
      </c>
      <c r="AO39">
        <f>_xlfn.HYPGEOM.DIST($A6,$C$4,'Benchmarks by Card Role'!I$32,99,FALSE)</f>
        <v/>
      </c>
      <c r="AP39">
        <f>_xlfn.HYPGEOM.DIST($A6,$C$4,'Benchmarks by Card Role'!J$32,99,FALSE)</f>
        <v/>
      </c>
      <c r="AQ39">
        <f>_xlfn.HYPGEOM.DIST($A6,$C$4,'Benchmarks by Card Role'!K$32,99,FALSE)</f>
        <v/>
      </c>
      <c r="AR39">
        <f>_xlfn.HYPGEOM.DIST($A6,$C$4,'Benchmarks by Card Role'!L$32,99,FALSE)</f>
        <v/>
      </c>
      <c r="AT39">
        <f>_xlfn.HYPGEOM.DIST($A6,$C$4,'Benchmarks by Card Role'!D$42,99,FALSE)</f>
        <v/>
      </c>
      <c r="AU39">
        <f>_xlfn.HYPGEOM.DIST($A6,$C$4,'Benchmarks by Card Role'!E$42,99,FALSE)</f>
        <v/>
      </c>
      <c r="AV39">
        <f>_xlfn.HYPGEOM.DIST($A6,$C$4,'Benchmarks by Card Role'!F$42,99,FALSE)</f>
        <v/>
      </c>
      <c r="AW39">
        <f>_xlfn.HYPGEOM.DIST($A6,$C$4,'Benchmarks by Card Role'!G$42,99,FALSE)</f>
        <v/>
      </c>
      <c r="AX39">
        <f>_xlfn.HYPGEOM.DIST($A6,$C$4,'Benchmarks by Card Role'!H$42,99,FALSE)</f>
        <v/>
      </c>
      <c r="AY39">
        <f>_xlfn.HYPGEOM.DIST($A6,$C$4,'Benchmarks by Card Role'!I$42,99,FALSE)</f>
        <v/>
      </c>
      <c r="AZ39">
        <f>_xlfn.HYPGEOM.DIST($A6,$C$4,'Benchmarks by Card Role'!J$42,99,FALSE)</f>
        <v/>
      </c>
      <c r="BA39">
        <f>_xlfn.HYPGEOM.DIST($A6,$C$4,'Benchmarks by Card Role'!K$42,99,FALSE)</f>
        <v/>
      </c>
      <c r="BB39">
        <f>_xlfn.HYPGEOM.DIST($A6,$C$4,'Benchmarks by Card Role'!L$42,99,FALSE)</f>
        <v/>
      </c>
    </row>
    <row r="40">
      <c r="F40">
        <f>_xlfn.HYPGEOM.DIST($A7,$C$4,'Benchmarks by Card Role'!D$2,99,FALSE)</f>
        <v/>
      </c>
      <c r="G40">
        <f>_xlfn.HYPGEOM.DIST($A7,$C$4,'Benchmarks by Card Role'!E$2,99,FALSE)</f>
        <v/>
      </c>
      <c r="H40">
        <f>_xlfn.HYPGEOM.DIST($A7,$C$4,'Benchmarks by Card Role'!F$2,99,FALSE)</f>
        <v/>
      </c>
      <c r="I40">
        <f>_xlfn.HYPGEOM.DIST($A7,$C$4,'Benchmarks by Card Role'!G$2,99,FALSE)</f>
        <v/>
      </c>
      <c r="J40">
        <f>_xlfn.HYPGEOM.DIST($A7,$C$4,'Benchmarks by Card Role'!H$2,99,FALSE)</f>
        <v/>
      </c>
      <c r="K40">
        <f>_xlfn.HYPGEOM.DIST($A7,$C$4,'Benchmarks by Card Role'!I$2,99,FALSE)</f>
        <v/>
      </c>
      <c r="L40">
        <f>_xlfn.HYPGEOM.DIST($A7,$C$4,'Benchmarks by Card Role'!J$2,99,FALSE)</f>
        <v/>
      </c>
      <c r="M40">
        <f>_xlfn.HYPGEOM.DIST($A7,$C$4,'Benchmarks by Card Role'!K$2,99,FALSE)</f>
        <v/>
      </c>
      <c r="N40">
        <f>_xlfn.HYPGEOM.DIST($A7,$C$4,'Benchmarks by Card Role'!L$2,99,FALSE)</f>
        <v/>
      </c>
      <c r="P40">
        <f>_xlfn.HYPGEOM.DIST($A7,$C$4,'Benchmarks by Card Role'!D$12,99,FALSE)</f>
        <v/>
      </c>
      <c r="Q40">
        <f>_xlfn.HYPGEOM.DIST($A7,$C$4,'Benchmarks by Card Role'!E$12,99,FALSE)</f>
        <v/>
      </c>
      <c r="R40">
        <f>_xlfn.HYPGEOM.DIST($A7,$C$4,'Benchmarks by Card Role'!F$12,99,FALSE)</f>
        <v/>
      </c>
      <c r="S40">
        <f>_xlfn.HYPGEOM.DIST($A7,$C$4,'Benchmarks by Card Role'!G$12,99,FALSE)</f>
        <v/>
      </c>
      <c r="T40">
        <f>_xlfn.HYPGEOM.DIST($A7,$C$4,'Benchmarks by Card Role'!H$12,99,FALSE)</f>
        <v/>
      </c>
      <c r="U40">
        <f>_xlfn.HYPGEOM.DIST($A7,$C$4,'Benchmarks by Card Role'!I$12,99,FALSE)</f>
        <v/>
      </c>
      <c r="V40">
        <f>_xlfn.HYPGEOM.DIST($A7,$C$4,'Benchmarks by Card Role'!J$12,99,FALSE)</f>
        <v/>
      </c>
      <c r="W40">
        <f>_xlfn.HYPGEOM.DIST($A7,$C$4,'Benchmarks by Card Role'!K$12,99,FALSE)</f>
        <v/>
      </c>
      <c r="X40">
        <f>_xlfn.HYPGEOM.DIST($A7,$C$4,'Benchmarks by Card Role'!L$12,99,FALSE)</f>
        <v/>
      </c>
      <c r="Z40">
        <f>_xlfn.HYPGEOM.DIST($A7,$C$4,'Benchmarks by Card Role'!D$22,99,FALSE)</f>
        <v/>
      </c>
      <c r="AA40">
        <f>_xlfn.HYPGEOM.DIST($A7,$C$4,'Benchmarks by Card Role'!E$22,99,FALSE)</f>
        <v/>
      </c>
      <c r="AB40">
        <f>_xlfn.HYPGEOM.DIST($A7,$C$4,'Benchmarks by Card Role'!F$22,99,FALSE)</f>
        <v/>
      </c>
      <c r="AC40">
        <f>_xlfn.HYPGEOM.DIST($A7,$C$4,'Benchmarks by Card Role'!G$22,99,FALSE)</f>
        <v/>
      </c>
      <c r="AD40">
        <f>_xlfn.HYPGEOM.DIST($A7,$C$4,'Benchmarks by Card Role'!H$22,99,FALSE)</f>
        <v/>
      </c>
      <c r="AE40">
        <f>_xlfn.HYPGEOM.DIST($A7,$C$4,'Benchmarks by Card Role'!I$22,99,FALSE)</f>
        <v/>
      </c>
      <c r="AF40">
        <f>_xlfn.HYPGEOM.DIST($A7,$C$4,'Benchmarks by Card Role'!J$22,99,FALSE)</f>
        <v/>
      </c>
      <c r="AG40">
        <f>_xlfn.HYPGEOM.DIST($A7,$C$4,'Benchmarks by Card Role'!K$22,99,FALSE)</f>
        <v/>
      </c>
      <c r="AH40">
        <f>_xlfn.HYPGEOM.DIST($A7,$C$4,'Benchmarks by Card Role'!L$22,99,FALSE)</f>
        <v/>
      </c>
      <c r="AJ40">
        <f>_xlfn.HYPGEOM.DIST($A7,$C$4,'Benchmarks by Card Role'!D$32,99,FALSE)</f>
        <v/>
      </c>
      <c r="AK40">
        <f>_xlfn.HYPGEOM.DIST($A7,$C$4,'Benchmarks by Card Role'!E$32,99,FALSE)</f>
        <v/>
      </c>
      <c r="AL40">
        <f>_xlfn.HYPGEOM.DIST($A7,$C$4,'Benchmarks by Card Role'!F$32,99,FALSE)</f>
        <v/>
      </c>
      <c r="AM40">
        <f>_xlfn.HYPGEOM.DIST($A7,$C$4,'Benchmarks by Card Role'!G$32,99,FALSE)</f>
        <v/>
      </c>
      <c r="AN40">
        <f>_xlfn.HYPGEOM.DIST($A7,$C$4,'Benchmarks by Card Role'!H$32,99,FALSE)</f>
        <v/>
      </c>
      <c r="AO40">
        <f>_xlfn.HYPGEOM.DIST($A7,$C$4,'Benchmarks by Card Role'!I$32,99,FALSE)</f>
        <v/>
      </c>
      <c r="AP40">
        <f>_xlfn.HYPGEOM.DIST($A7,$C$4,'Benchmarks by Card Role'!J$32,99,FALSE)</f>
        <v/>
      </c>
      <c r="AQ40">
        <f>_xlfn.HYPGEOM.DIST($A7,$C$4,'Benchmarks by Card Role'!K$32,99,FALSE)</f>
        <v/>
      </c>
      <c r="AR40">
        <f>_xlfn.HYPGEOM.DIST($A7,$C$4,'Benchmarks by Card Role'!L$32,99,FALSE)</f>
        <v/>
      </c>
      <c r="AT40">
        <f>_xlfn.HYPGEOM.DIST($A7,$C$4,'Benchmarks by Card Role'!D$42,99,FALSE)</f>
        <v/>
      </c>
      <c r="AU40">
        <f>_xlfn.HYPGEOM.DIST($A7,$C$4,'Benchmarks by Card Role'!E$42,99,FALSE)</f>
        <v/>
      </c>
      <c r="AV40">
        <f>_xlfn.HYPGEOM.DIST($A7,$C$4,'Benchmarks by Card Role'!F$42,99,FALSE)</f>
        <v/>
      </c>
      <c r="AW40">
        <f>_xlfn.HYPGEOM.DIST($A7,$C$4,'Benchmarks by Card Role'!G$42,99,FALSE)</f>
        <v/>
      </c>
      <c r="AX40">
        <f>_xlfn.HYPGEOM.DIST($A7,$C$4,'Benchmarks by Card Role'!H$42,99,FALSE)</f>
        <v/>
      </c>
      <c r="AY40">
        <f>_xlfn.HYPGEOM.DIST($A7,$C$4,'Benchmarks by Card Role'!I$42,99,FALSE)</f>
        <v/>
      </c>
      <c r="AZ40">
        <f>_xlfn.HYPGEOM.DIST($A7,$C$4,'Benchmarks by Card Role'!J$42,99,FALSE)</f>
        <v/>
      </c>
      <c r="BA40">
        <f>_xlfn.HYPGEOM.DIST($A7,$C$4,'Benchmarks by Card Role'!K$42,99,FALSE)</f>
        <v/>
      </c>
      <c r="BB40">
        <f>_xlfn.HYPGEOM.DIST($A7,$C$4,'Benchmarks by Card Role'!L$42,99,FALSE)</f>
        <v/>
      </c>
    </row>
    <row r="41">
      <c r="F41">
        <f>_xlfn.HYPGEOM.DIST($A8,$C$4,'Benchmarks by Card Role'!D$2,99,FALSE)</f>
        <v/>
      </c>
      <c r="G41">
        <f>_xlfn.HYPGEOM.DIST($A8,$C$4,'Benchmarks by Card Role'!E$2,99,FALSE)</f>
        <v/>
      </c>
      <c r="H41">
        <f>_xlfn.HYPGEOM.DIST($A8,$C$4,'Benchmarks by Card Role'!F$2,99,FALSE)</f>
        <v/>
      </c>
      <c r="I41">
        <f>_xlfn.HYPGEOM.DIST($A8,$C$4,'Benchmarks by Card Role'!G$2,99,FALSE)</f>
        <v/>
      </c>
      <c r="J41">
        <f>_xlfn.HYPGEOM.DIST($A8,$C$4,'Benchmarks by Card Role'!H$2,99,FALSE)</f>
        <v/>
      </c>
      <c r="K41">
        <f>_xlfn.HYPGEOM.DIST($A8,$C$4,'Benchmarks by Card Role'!I$2,99,FALSE)</f>
        <v/>
      </c>
      <c r="L41">
        <f>_xlfn.HYPGEOM.DIST($A8,$C$4,'Benchmarks by Card Role'!J$2,99,FALSE)</f>
        <v/>
      </c>
      <c r="M41">
        <f>_xlfn.HYPGEOM.DIST($A8,$C$4,'Benchmarks by Card Role'!K$2,99,FALSE)</f>
        <v/>
      </c>
      <c r="N41">
        <f>_xlfn.HYPGEOM.DIST($A8,$C$4,'Benchmarks by Card Role'!L$2,99,FALSE)</f>
        <v/>
      </c>
      <c r="P41">
        <f>_xlfn.HYPGEOM.DIST($A8,$C$4,'Benchmarks by Card Role'!D$12,99,FALSE)</f>
        <v/>
      </c>
      <c r="Q41">
        <f>_xlfn.HYPGEOM.DIST($A8,$C$4,'Benchmarks by Card Role'!E$12,99,FALSE)</f>
        <v/>
      </c>
      <c r="R41">
        <f>_xlfn.HYPGEOM.DIST($A8,$C$4,'Benchmarks by Card Role'!F$12,99,FALSE)</f>
        <v/>
      </c>
      <c r="S41">
        <f>_xlfn.HYPGEOM.DIST($A8,$C$4,'Benchmarks by Card Role'!G$12,99,FALSE)</f>
        <v/>
      </c>
      <c r="T41">
        <f>_xlfn.HYPGEOM.DIST($A8,$C$4,'Benchmarks by Card Role'!H$12,99,FALSE)</f>
        <v/>
      </c>
      <c r="U41">
        <f>_xlfn.HYPGEOM.DIST($A8,$C$4,'Benchmarks by Card Role'!I$12,99,FALSE)</f>
        <v/>
      </c>
      <c r="V41">
        <f>_xlfn.HYPGEOM.DIST($A8,$C$4,'Benchmarks by Card Role'!J$12,99,FALSE)</f>
        <v/>
      </c>
      <c r="W41">
        <f>_xlfn.HYPGEOM.DIST($A8,$C$4,'Benchmarks by Card Role'!K$12,99,FALSE)</f>
        <v/>
      </c>
      <c r="X41">
        <f>_xlfn.HYPGEOM.DIST($A8,$C$4,'Benchmarks by Card Role'!L$12,99,FALSE)</f>
        <v/>
      </c>
      <c r="Z41">
        <f>_xlfn.HYPGEOM.DIST($A8,$C$4,'Benchmarks by Card Role'!D$22,99,FALSE)</f>
        <v/>
      </c>
      <c r="AA41">
        <f>_xlfn.HYPGEOM.DIST($A8,$C$4,'Benchmarks by Card Role'!E$22,99,FALSE)</f>
        <v/>
      </c>
      <c r="AB41">
        <f>_xlfn.HYPGEOM.DIST($A8,$C$4,'Benchmarks by Card Role'!F$22,99,FALSE)</f>
        <v/>
      </c>
      <c r="AC41">
        <f>_xlfn.HYPGEOM.DIST($A8,$C$4,'Benchmarks by Card Role'!G$22,99,FALSE)</f>
        <v/>
      </c>
      <c r="AD41">
        <f>_xlfn.HYPGEOM.DIST($A8,$C$4,'Benchmarks by Card Role'!H$22,99,FALSE)</f>
        <v/>
      </c>
      <c r="AE41">
        <f>_xlfn.HYPGEOM.DIST($A8,$C$4,'Benchmarks by Card Role'!I$22,99,FALSE)</f>
        <v/>
      </c>
      <c r="AF41">
        <f>_xlfn.HYPGEOM.DIST($A8,$C$4,'Benchmarks by Card Role'!J$22,99,FALSE)</f>
        <v/>
      </c>
      <c r="AG41">
        <f>_xlfn.HYPGEOM.DIST($A8,$C$4,'Benchmarks by Card Role'!K$22,99,FALSE)</f>
        <v/>
      </c>
      <c r="AH41">
        <f>_xlfn.HYPGEOM.DIST($A8,$C$4,'Benchmarks by Card Role'!L$22,99,FALSE)</f>
        <v/>
      </c>
      <c r="AJ41">
        <f>_xlfn.HYPGEOM.DIST($A8,$C$4,'Benchmarks by Card Role'!D$32,99,FALSE)</f>
        <v/>
      </c>
      <c r="AK41">
        <f>_xlfn.HYPGEOM.DIST($A8,$C$4,'Benchmarks by Card Role'!E$32,99,FALSE)</f>
        <v/>
      </c>
      <c r="AL41">
        <f>_xlfn.HYPGEOM.DIST($A8,$C$4,'Benchmarks by Card Role'!F$32,99,FALSE)</f>
        <v/>
      </c>
      <c r="AM41">
        <f>_xlfn.HYPGEOM.DIST($A8,$C$4,'Benchmarks by Card Role'!G$32,99,FALSE)</f>
        <v/>
      </c>
      <c r="AN41">
        <f>_xlfn.HYPGEOM.DIST($A8,$C$4,'Benchmarks by Card Role'!H$32,99,FALSE)</f>
        <v/>
      </c>
      <c r="AO41">
        <f>_xlfn.HYPGEOM.DIST($A8,$C$4,'Benchmarks by Card Role'!I$32,99,FALSE)</f>
        <v/>
      </c>
      <c r="AP41">
        <f>_xlfn.HYPGEOM.DIST($A8,$C$4,'Benchmarks by Card Role'!J$32,99,FALSE)</f>
        <v/>
      </c>
      <c r="AQ41">
        <f>_xlfn.HYPGEOM.DIST($A8,$C$4,'Benchmarks by Card Role'!K$32,99,FALSE)</f>
        <v/>
      </c>
      <c r="AR41">
        <f>_xlfn.HYPGEOM.DIST($A8,$C$4,'Benchmarks by Card Role'!L$32,99,FALSE)</f>
        <v/>
      </c>
      <c r="AT41">
        <f>_xlfn.HYPGEOM.DIST($A8,$C$4,'Benchmarks by Card Role'!D$42,99,FALSE)</f>
        <v/>
      </c>
      <c r="AU41">
        <f>_xlfn.HYPGEOM.DIST($A8,$C$4,'Benchmarks by Card Role'!E$42,99,FALSE)</f>
        <v/>
      </c>
      <c r="AV41">
        <f>_xlfn.HYPGEOM.DIST($A8,$C$4,'Benchmarks by Card Role'!F$42,99,FALSE)</f>
        <v/>
      </c>
      <c r="AW41">
        <f>_xlfn.HYPGEOM.DIST($A8,$C$4,'Benchmarks by Card Role'!G$42,99,FALSE)</f>
        <v/>
      </c>
      <c r="AX41">
        <f>_xlfn.HYPGEOM.DIST($A8,$C$4,'Benchmarks by Card Role'!H$42,99,FALSE)</f>
        <v/>
      </c>
      <c r="AY41">
        <f>_xlfn.HYPGEOM.DIST($A8,$C$4,'Benchmarks by Card Role'!I$42,99,FALSE)</f>
        <v/>
      </c>
      <c r="AZ41">
        <f>_xlfn.HYPGEOM.DIST($A8,$C$4,'Benchmarks by Card Role'!J$42,99,FALSE)</f>
        <v/>
      </c>
      <c r="BA41">
        <f>_xlfn.HYPGEOM.DIST($A8,$C$4,'Benchmarks by Card Role'!K$42,99,FALSE)</f>
        <v/>
      </c>
      <c r="BB41">
        <f>_xlfn.HYPGEOM.DIST($A8,$C$4,'Benchmarks by Card Role'!L$42,99,FALSE)</f>
        <v/>
      </c>
    </row>
    <row r="42">
      <c r="F42">
        <f>_xlfn.HYPGEOM.DIST($A9,$C$4,'Benchmarks by Card Role'!D$2,99,FALSE)</f>
        <v/>
      </c>
      <c r="G42">
        <f>_xlfn.HYPGEOM.DIST($A9,$C$4,'Benchmarks by Card Role'!E$2,99,FALSE)</f>
        <v/>
      </c>
      <c r="H42">
        <f>_xlfn.HYPGEOM.DIST($A9,$C$4,'Benchmarks by Card Role'!F$2,99,FALSE)</f>
        <v/>
      </c>
      <c r="I42">
        <f>_xlfn.HYPGEOM.DIST($A9,$C$4,'Benchmarks by Card Role'!G$2,99,FALSE)</f>
        <v/>
      </c>
      <c r="J42">
        <f>_xlfn.HYPGEOM.DIST($A9,$C$4,'Benchmarks by Card Role'!H$2,99,FALSE)</f>
        <v/>
      </c>
      <c r="K42">
        <f>_xlfn.HYPGEOM.DIST($A9,$C$4,'Benchmarks by Card Role'!I$2,99,FALSE)</f>
        <v/>
      </c>
      <c r="L42">
        <f>_xlfn.HYPGEOM.DIST($A9,$C$4,'Benchmarks by Card Role'!J$2,99,FALSE)</f>
        <v/>
      </c>
      <c r="M42">
        <f>_xlfn.HYPGEOM.DIST($A9,$C$4,'Benchmarks by Card Role'!K$2,99,FALSE)</f>
        <v/>
      </c>
      <c r="N42">
        <f>_xlfn.HYPGEOM.DIST($A9,$C$4,'Benchmarks by Card Role'!L$2,99,FALSE)</f>
        <v/>
      </c>
      <c r="P42">
        <f>_xlfn.HYPGEOM.DIST($A9,$C$4,'Benchmarks by Card Role'!D$12,99,FALSE)</f>
        <v/>
      </c>
      <c r="Q42">
        <f>_xlfn.HYPGEOM.DIST($A9,$C$4,'Benchmarks by Card Role'!E$12,99,FALSE)</f>
        <v/>
      </c>
      <c r="R42">
        <f>_xlfn.HYPGEOM.DIST($A9,$C$4,'Benchmarks by Card Role'!F$12,99,FALSE)</f>
        <v/>
      </c>
      <c r="S42">
        <f>_xlfn.HYPGEOM.DIST($A9,$C$4,'Benchmarks by Card Role'!G$12,99,FALSE)</f>
        <v/>
      </c>
      <c r="T42">
        <f>_xlfn.HYPGEOM.DIST($A9,$C$4,'Benchmarks by Card Role'!H$12,99,FALSE)</f>
        <v/>
      </c>
      <c r="U42">
        <f>_xlfn.HYPGEOM.DIST($A9,$C$4,'Benchmarks by Card Role'!I$12,99,FALSE)</f>
        <v/>
      </c>
      <c r="V42">
        <f>_xlfn.HYPGEOM.DIST($A9,$C$4,'Benchmarks by Card Role'!J$12,99,FALSE)</f>
        <v/>
      </c>
      <c r="W42">
        <f>_xlfn.HYPGEOM.DIST($A9,$C$4,'Benchmarks by Card Role'!K$12,99,FALSE)</f>
        <v/>
      </c>
      <c r="X42">
        <f>_xlfn.HYPGEOM.DIST($A9,$C$4,'Benchmarks by Card Role'!L$12,99,FALSE)</f>
        <v/>
      </c>
      <c r="Z42">
        <f>_xlfn.HYPGEOM.DIST($A9,$C$4,'Benchmarks by Card Role'!D$22,99,FALSE)</f>
        <v/>
      </c>
      <c r="AA42">
        <f>_xlfn.HYPGEOM.DIST($A9,$C$4,'Benchmarks by Card Role'!E$22,99,FALSE)</f>
        <v/>
      </c>
      <c r="AB42">
        <f>_xlfn.HYPGEOM.DIST($A9,$C$4,'Benchmarks by Card Role'!F$22,99,FALSE)</f>
        <v/>
      </c>
      <c r="AC42">
        <f>_xlfn.HYPGEOM.DIST($A9,$C$4,'Benchmarks by Card Role'!G$22,99,FALSE)</f>
        <v/>
      </c>
      <c r="AD42">
        <f>_xlfn.HYPGEOM.DIST($A9,$C$4,'Benchmarks by Card Role'!H$22,99,FALSE)</f>
        <v/>
      </c>
      <c r="AE42">
        <f>_xlfn.HYPGEOM.DIST($A9,$C$4,'Benchmarks by Card Role'!I$22,99,FALSE)</f>
        <v/>
      </c>
      <c r="AF42">
        <f>_xlfn.HYPGEOM.DIST($A9,$C$4,'Benchmarks by Card Role'!J$22,99,FALSE)</f>
        <v/>
      </c>
      <c r="AG42">
        <f>_xlfn.HYPGEOM.DIST($A9,$C$4,'Benchmarks by Card Role'!K$22,99,FALSE)</f>
        <v/>
      </c>
      <c r="AH42">
        <f>_xlfn.HYPGEOM.DIST($A9,$C$4,'Benchmarks by Card Role'!L$22,99,FALSE)</f>
        <v/>
      </c>
      <c r="AJ42">
        <f>_xlfn.HYPGEOM.DIST($A9,$C$4,'Benchmarks by Card Role'!D$32,99,FALSE)</f>
        <v/>
      </c>
      <c r="AK42">
        <f>_xlfn.HYPGEOM.DIST($A9,$C$4,'Benchmarks by Card Role'!E$32,99,FALSE)</f>
        <v/>
      </c>
      <c r="AL42">
        <f>_xlfn.HYPGEOM.DIST($A9,$C$4,'Benchmarks by Card Role'!F$32,99,FALSE)</f>
        <v/>
      </c>
      <c r="AM42">
        <f>_xlfn.HYPGEOM.DIST($A9,$C$4,'Benchmarks by Card Role'!G$32,99,FALSE)</f>
        <v/>
      </c>
      <c r="AN42">
        <f>_xlfn.HYPGEOM.DIST($A9,$C$4,'Benchmarks by Card Role'!H$32,99,FALSE)</f>
        <v/>
      </c>
      <c r="AO42">
        <f>_xlfn.HYPGEOM.DIST($A9,$C$4,'Benchmarks by Card Role'!I$32,99,FALSE)</f>
        <v/>
      </c>
      <c r="AP42">
        <f>_xlfn.HYPGEOM.DIST($A9,$C$4,'Benchmarks by Card Role'!J$32,99,FALSE)</f>
        <v/>
      </c>
      <c r="AQ42">
        <f>_xlfn.HYPGEOM.DIST($A9,$C$4,'Benchmarks by Card Role'!K$32,99,FALSE)</f>
        <v/>
      </c>
      <c r="AR42">
        <f>_xlfn.HYPGEOM.DIST($A9,$C$4,'Benchmarks by Card Role'!L$32,99,FALSE)</f>
        <v/>
      </c>
      <c r="AT42">
        <f>_xlfn.HYPGEOM.DIST($A9,$C$4,'Benchmarks by Card Role'!D$42,99,FALSE)</f>
        <v/>
      </c>
      <c r="AU42">
        <f>_xlfn.HYPGEOM.DIST($A9,$C$4,'Benchmarks by Card Role'!E$42,99,FALSE)</f>
        <v/>
      </c>
      <c r="AV42">
        <f>_xlfn.HYPGEOM.DIST($A9,$C$4,'Benchmarks by Card Role'!F$42,99,FALSE)</f>
        <v/>
      </c>
      <c r="AW42">
        <f>_xlfn.HYPGEOM.DIST($A9,$C$4,'Benchmarks by Card Role'!G$42,99,FALSE)</f>
        <v/>
      </c>
      <c r="AX42">
        <f>_xlfn.HYPGEOM.DIST($A9,$C$4,'Benchmarks by Card Role'!H$42,99,FALSE)</f>
        <v/>
      </c>
      <c r="AY42">
        <f>_xlfn.HYPGEOM.DIST($A9,$C$4,'Benchmarks by Card Role'!I$42,99,FALSE)</f>
        <v/>
      </c>
      <c r="AZ42">
        <f>_xlfn.HYPGEOM.DIST($A9,$C$4,'Benchmarks by Card Role'!J$42,99,FALSE)</f>
        <v/>
      </c>
      <c r="BA42">
        <f>_xlfn.HYPGEOM.DIST($A9,$C$4,'Benchmarks by Card Role'!K$42,99,FALSE)</f>
        <v/>
      </c>
      <c r="BB42">
        <f>_xlfn.HYPGEOM.DIST($A9,$C$4,'Benchmarks by Card Role'!L$42,99,FALSE)</f>
        <v/>
      </c>
    </row>
    <row r="43">
      <c r="F43">
        <f>SUM(F34*$A$1,F35*$A$2,F36*$A$3,F37*$A$4,F38*$A$5,F39*$A$6,F40*$A$7,F41*$A$8,F42*$A$9)</f>
        <v/>
      </c>
      <c r="G43">
        <f>SUM(G34*$A$1,G35*$A$2,G36*$A$3,G37*$A$4,G38*$A$5,G39*$A$6,G40*$A$7,G41*$A$8,G42*$A$9)</f>
        <v/>
      </c>
      <c r="H43">
        <f>SUM(H34*$A$1,H35*$A$2,H36*$A$3,H37*$A$4,H38*$A$5,H39*$A$6,H40*$A$7,H41*$A$8,H42*$A$9)</f>
        <v/>
      </c>
      <c r="I43">
        <f>SUM(I34*$A$1,I35*$A$2,I36*$A$3,I37*$A$4,I38*$A$5,I39*$A$6,I40*$A$7,I41*$A$8,I42*$A$9)</f>
        <v/>
      </c>
      <c r="J43">
        <f>SUM(J34*$A$1,J35*$A$2,J36*$A$3,J37*$A$4,J38*$A$5,J39*$A$6,J40*$A$7,J41*$A$8,J42*$A$9)</f>
        <v/>
      </c>
      <c r="K43">
        <f>SUM(K34*$A$1,K35*$A$2,K36*$A$3,K37*$A$4,K38*$A$5,K39*$A$6,K40*$A$7,K41*$A$8,K42*$A$9)</f>
        <v/>
      </c>
      <c r="L43">
        <f>SUM(L34*$A$1,L35*$A$2,L36*$A$3,L37*$A$4,L38*$A$5,L39*$A$6,L40*$A$7,L41*$A$8,L42*$A$9)</f>
        <v/>
      </c>
      <c r="M43">
        <f>SUM(M34*$A$1,M35*$A$2,M36*$A$3,M37*$A$4,M38*$A$5,M39*$A$6,M40*$A$7,M41*$A$8,M42*$A$9)</f>
        <v/>
      </c>
      <c r="N43">
        <f>SUM(N34*$A$1,N35*$A$2,N36*$A$3,N37*$A$4,N38*$A$5,N39*$A$6,N40*$A$7,N41*$A$8,N42*$A$9)</f>
        <v/>
      </c>
      <c r="P43">
        <f>SUM(P34*$A$1,P35*$A$2,P36*$A$3,P37*$A$4,P38*$A$5,P39*$A$6,P40*$A$7,P41*$A$8,P42*$A$9)</f>
        <v/>
      </c>
      <c r="Q43">
        <f>SUM(Q34*$A$1,Q35*$A$2,Q36*$A$3,Q37*$A$4,Q38*$A$5,Q39*$A$6,Q40*$A$7,Q41*$A$8,Q42*$A$9)</f>
        <v/>
      </c>
      <c r="R43">
        <f>SUM(R34*$A$1,R35*$A$2,R36*$A$3,R37*$A$4,R38*$A$5,R39*$A$6,R40*$A$7,R41*$A$8,R42*$A$9)</f>
        <v/>
      </c>
      <c r="S43">
        <f>SUM(S34*$A$1,S35*$A$2,S36*$A$3,S37*$A$4,S38*$A$5,S39*$A$6,S40*$A$7,S41*$A$8,S42*$A$9)</f>
        <v/>
      </c>
      <c r="T43">
        <f>SUM(T34*$A$1,T35*$A$2,T36*$A$3,T37*$A$4,T38*$A$5,T39*$A$6,T40*$A$7,T41*$A$8,T42*$A$9)</f>
        <v/>
      </c>
      <c r="U43">
        <f>SUM(U34*$A$1,U35*$A$2,U36*$A$3,U37*$A$4,U38*$A$5,U39*$A$6,U40*$A$7,U41*$A$8,U42*$A$9)</f>
        <v/>
      </c>
      <c r="V43">
        <f>SUM(V34*$A$1,V35*$A$2,V36*$A$3,V37*$A$4,V38*$A$5,V39*$A$6,V40*$A$7,V41*$A$8,V42*$A$9)</f>
        <v/>
      </c>
      <c r="W43">
        <f>SUM(W34*$A$1,W35*$A$2,W36*$A$3,W37*$A$4,W38*$A$5,W39*$A$6,W40*$A$7,W41*$A$8,W42*$A$9)</f>
        <v/>
      </c>
      <c r="X43">
        <f>SUM(X34*$A$1,X35*$A$2,X36*$A$3,X37*$A$4,X38*$A$5,X39*$A$6,X40*$A$7,X41*$A$8,X42*$A$9)</f>
        <v/>
      </c>
      <c r="Z43">
        <f>SUM(Z34*$A$1,Z35*$A$2,Z36*$A$3,Z37*$A$4,Z38*$A$5,Z39*$A$6,Z40*$A$7,Z41*$A$8,Z42*$A$9)</f>
        <v/>
      </c>
      <c r="AA43">
        <f>SUM(AA34*$A$1,AA35*$A$2,AA36*$A$3,AA37*$A$4,AA38*$A$5,AA39*$A$6,AA40*$A$7,AA41*$A$8,AA42*$A$9)</f>
        <v/>
      </c>
      <c r="AB43">
        <f>SUM(AB34*$A$1,AB35*$A$2,AB36*$A$3,AB37*$A$4,AB38*$A$5,AB39*$A$6,AB40*$A$7,AB41*$A$8,AB42*$A$9)</f>
        <v/>
      </c>
      <c r="AC43">
        <f>SUM(AC34*$A$1,AC35*$A$2,AC36*$A$3,AC37*$A$4,AC38*$A$5,AC39*$A$6,AC40*$A$7,AC41*$A$8,AC42*$A$9)</f>
        <v/>
      </c>
      <c r="AD43">
        <f>SUM(AD34*$A$1,AD35*$A$2,AD36*$A$3,AD37*$A$4,AD38*$A$5,AD39*$A$6,AD40*$A$7,AD41*$A$8,AD42*$A$9)</f>
        <v/>
      </c>
      <c r="AE43">
        <f>SUM(AE34*$A$1,AE35*$A$2,AE36*$A$3,AE37*$A$4,AE38*$A$5,AE39*$A$6,AE40*$A$7,AE41*$A$8,AE42*$A$9)</f>
        <v/>
      </c>
      <c r="AF43">
        <f>SUM(AF34*$A$1,AF35*$A$2,AF36*$A$3,AF37*$A$4,AF38*$A$5,AF39*$A$6,AF40*$A$7,AF41*$A$8,AF42*$A$9)</f>
        <v/>
      </c>
      <c r="AG43">
        <f>SUM(AG34*$A$1,AG35*$A$2,AG36*$A$3,AG37*$A$4,AG38*$A$5,AG39*$A$6,AG40*$A$7,AG41*$A$8,AG42*$A$9)</f>
        <v/>
      </c>
      <c r="AH43">
        <f>SUM(AH34*$A$1,AH35*$A$2,AH36*$A$3,AH37*$A$4,AH38*$A$5,AH39*$A$6,AH40*$A$7,AH41*$A$8,AH42*$A$9)</f>
        <v/>
      </c>
      <c r="AJ43">
        <f>SUM(AJ34*$A$1,AJ35*$A$2,AJ36*$A$3,AJ37*$A$4,AJ38*$A$5,AJ39*$A$6,AJ40*$A$7,AJ41*$A$8,AJ42*$A$9)</f>
        <v/>
      </c>
      <c r="AK43">
        <f>SUM(AK34*$A$1,AK35*$A$2,AK36*$A$3,AK37*$A$4,AK38*$A$5,AK39*$A$6,AK40*$A$7,AK41*$A$8,AK42*$A$9)</f>
        <v/>
      </c>
      <c r="AL43">
        <f>SUM(AL34*$A$1,AL35*$A$2,AL36*$A$3,AL37*$A$4,AL38*$A$5,AL39*$A$6,AL40*$A$7,AL41*$A$8,AL42*$A$9)</f>
        <v/>
      </c>
      <c r="AM43">
        <f>SUM(AM34*$A$1,AM35*$A$2,AM36*$A$3,AM37*$A$4,AM38*$A$5,AM39*$A$6,AM40*$A$7,AM41*$A$8,AM42*$A$9)</f>
        <v/>
      </c>
      <c r="AN43">
        <f>SUM(AN34*$A$1,AN35*$A$2,AN36*$A$3,AN37*$A$4,AN38*$A$5,AN39*$A$6,AN40*$A$7,AN41*$A$8,AN42*$A$9)</f>
        <v/>
      </c>
      <c r="AO43">
        <f>SUM(AO34*$A$1,AO35*$A$2,AO36*$A$3,AO37*$A$4,AO38*$A$5,AO39*$A$6,AO40*$A$7,AO41*$A$8,AO42*$A$9)</f>
        <v/>
      </c>
      <c r="AP43">
        <f>SUM(AP34*$A$1,AP35*$A$2,AP36*$A$3,AP37*$A$4,AP38*$A$5,AP39*$A$6,AP40*$A$7,AP41*$A$8,AP42*$A$9)</f>
        <v/>
      </c>
      <c r="AQ43">
        <f>SUM(AQ34*$A$1,AQ35*$A$2,AQ36*$A$3,AQ37*$A$4,AQ38*$A$5,AQ39*$A$6,AQ40*$A$7,AQ41*$A$8,AQ42*$A$9)</f>
        <v/>
      </c>
      <c r="AR43">
        <f>SUM(AR34*$A$1,AR35*$A$2,AR36*$A$3,AR37*$A$4,AR38*$A$5,AR39*$A$6,AR40*$A$7,AR41*$A$8,AR42*$A$9)</f>
        <v/>
      </c>
      <c r="AT43">
        <f>SUM(AT34*$A$1,AT35*$A$2,AT36*$A$3,AT37*$A$4,AT38*$A$5,AT39*$A$6,AT40*$A$7,AT41*$A$8,AT42*$A$9)</f>
        <v/>
      </c>
      <c r="AU43">
        <f>SUM(AU34*$A$1,AU35*$A$2,AU36*$A$3,AU37*$A$4,AU38*$A$5,AU39*$A$6,AU40*$A$7,AU41*$A$8,AU42*$A$9)</f>
        <v/>
      </c>
      <c r="AV43">
        <f>SUM(AV34*$A$1,AV35*$A$2,AV36*$A$3,AV37*$A$4,AV38*$A$5,AV39*$A$6,AV40*$A$7,AV41*$A$8,AV42*$A$9)</f>
        <v/>
      </c>
      <c r="AW43">
        <f>SUM(AW34*$A$1,AW35*$A$2,AW36*$A$3,AW37*$A$4,AW38*$A$5,AW39*$A$6,AW40*$A$7,AW41*$A$8,AW42*$A$9)</f>
        <v/>
      </c>
      <c r="AX43">
        <f>SUM(AX34*$A$1,AX35*$A$2,AX36*$A$3,AX37*$A$4,AX38*$A$5,AX39*$A$6,AX40*$A$7,AX41*$A$8,AX42*$A$9)</f>
        <v/>
      </c>
      <c r="AY43">
        <f>SUM(AY34*$A$1,AY35*$A$2,AY36*$A$3,AY37*$A$4,AY38*$A$5,AY39*$A$6,AY40*$A$7,AY41*$A$8,AY42*$A$9)</f>
        <v/>
      </c>
      <c r="AZ43">
        <f>SUM(AZ34*$A$1,AZ35*$A$2,AZ36*$A$3,AZ37*$A$4,AZ38*$A$5,AZ39*$A$6,AZ40*$A$7,AZ41*$A$8,AZ42*$A$9)</f>
        <v/>
      </c>
      <c r="BA43">
        <f>SUM(BA34*$A$1,BA35*$A$2,BA36*$A$3,BA37*$A$4,BA38*$A$5,BA39*$A$6,BA40*$A$7,BA41*$A$8,BA42*$A$9)</f>
        <v/>
      </c>
      <c r="BB43">
        <f>SUM(BB34*$A$1,BB35*$A$2,BB36*$A$3,BB37*$A$4,BB38*$A$5,BB39*$A$6,BB40*$A$7,BB41*$A$8,BB42*$A$9)</f>
        <v/>
      </c>
    </row>
    <row r="44"/>
    <row r="45">
      <c r="F45">
        <f>_xlfn.HYPGEOM.DIST($A1,$C$5,'Benchmarks by Card Role'!D$2,99,FALSE)</f>
        <v/>
      </c>
      <c r="G45">
        <f>_xlfn.HYPGEOM.DIST($A1,$C$5,'Benchmarks by Card Role'!E$2,99,FALSE)</f>
        <v/>
      </c>
      <c r="H45">
        <f>_xlfn.HYPGEOM.DIST($A1,$C$5,'Benchmarks by Card Role'!F$2,99,FALSE)</f>
        <v/>
      </c>
      <c r="I45">
        <f>_xlfn.HYPGEOM.DIST($A1,$C$5,'Benchmarks by Card Role'!G$2,99,FALSE)</f>
        <v/>
      </c>
      <c r="J45">
        <f>_xlfn.HYPGEOM.DIST($A1,$C$5,'Benchmarks by Card Role'!H$2,99,FALSE)</f>
        <v/>
      </c>
      <c r="K45">
        <f>_xlfn.HYPGEOM.DIST($A1,$C$5,'Benchmarks by Card Role'!I$2,99,FALSE)</f>
        <v/>
      </c>
      <c r="L45">
        <f>_xlfn.HYPGEOM.DIST($A1,$C$5,'Benchmarks by Card Role'!J$2,99,FALSE)</f>
        <v/>
      </c>
      <c r="M45">
        <f>_xlfn.HYPGEOM.DIST($A1,$C$5,'Benchmarks by Card Role'!K$2,99,FALSE)</f>
        <v/>
      </c>
      <c r="N45">
        <f>_xlfn.HYPGEOM.DIST($A1,$C$5,'Benchmarks by Card Role'!L$2,99,FALSE)</f>
        <v/>
      </c>
      <c r="P45">
        <f>_xlfn.HYPGEOM.DIST($A1,$C$5,'Benchmarks by Card Role'!D$12,99,FALSE)</f>
        <v/>
      </c>
      <c r="Q45">
        <f>_xlfn.HYPGEOM.DIST($A1,$C$5,'Benchmarks by Card Role'!E$12,99,FALSE)</f>
        <v/>
      </c>
      <c r="R45">
        <f>_xlfn.HYPGEOM.DIST($A1,$C$5,'Benchmarks by Card Role'!F$12,99,FALSE)</f>
        <v/>
      </c>
      <c r="S45">
        <f>_xlfn.HYPGEOM.DIST($A1,$C$5,'Benchmarks by Card Role'!G$12,99,FALSE)</f>
        <v/>
      </c>
      <c r="T45">
        <f>_xlfn.HYPGEOM.DIST($A1,$C$5,'Benchmarks by Card Role'!H$12,99,FALSE)</f>
        <v/>
      </c>
      <c r="U45">
        <f>_xlfn.HYPGEOM.DIST($A1,$C$5,'Benchmarks by Card Role'!I$12,99,FALSE)</f>
        <v/>
      </c>
      <c r="V45">
        <f>_xlfn.HYPGEOM.DIST($A1,$C$5,'Benchmarks by Card Role'!J$12,99,FALSE)</f>
        <v/>
      </c>
      <c r="W45">
        <f>_xlfn.HYPGEOM.DIST($A1,$C$5,'Benchmarks by Card Role'!K$12,99,FALSE)</f>
        <v/>
      </c>
      <c r="X45">
        <f>_xlfn.HYPGEOM.DIST($A1,$C$5,'Benchmarks by Card Role'!L$12,99,FALSE)</f>
        <v/>
      </c>
      <c r="Z45">
        <f>_xlfn.HYPGEOM.DIST($A1,$C$5,'Benchmarks by Card Role'!D$22,99,FALSE)</f>
        <v/>
      </c>
      <c r="AA45">
        <f>_xlfn.HYPGEOM.DIST($A1,$C$5,'Benchmarks by Card Role'!E$22,99,FALSE)</f>
        <v/>
      </c>
      <c r="AB45">
        <f>_xlfn.HYPGEOM.DIST($A1,$C$5,'Benchmarks by Card Role'!F$22,99,FALSE)</f>
        <v/>
      </c>
      <c r="AC45">
        <f>_xlfn.HYPGEOM.DIST($A1,$C$5,'Benchmarks by Card Role'!G$22,99,FALSE)</f>
        <v/>
      </c>
      <c r="AD45">
        <f>_xlfn.HYPGEOM.DIST($A1,$C$5,'Benchmarks by Card Role'!H$22,99,FALSE)</f>
        <v/>
      </c>
      <c r="AE45">
        <f>_xlfn.HYPGEOM.DIST($A1,$C$5,'Benchmarks by Card Role'!I$22,99,FALSE)</f>
        <v/>
      </c>
      <c r="AF45">
        <f>_xlfn.HYPGEOM.DIST($A1,$C$5,'Benchmarks by Card Role'!J$22,99,FALSE)</f>
        <v/>
      </c>
      <c r="AG45">
        <f>_xlfn.HYPGEOM.DIST($A1,$C$5,'Benchmarks by Card Role'!K$22,99,FALSE)</f>
        <v/>
      </c>
      <c r="AH45">
        <f>_xlfn.HYPGEOM.DIST($A1,$C$5,'Benchmarks by Card Role'!L$22,99,FALSE)</f>
        <v/>
      </c>
      <c r="AJ45">
        <f>_xlfn.HYPGEOM.DIST($A1,$C$5,'Benchmarks by Card Role'!D$32,99,FALSE)</f>
        <v/>
      </c>
      <c r="AK45">
        <f>_xlfn.HYPGEOM.DIST($A1,$C$5,'Benchmarks by Card Role'!E$32,99,FALSE)</f>
        <v/>
      </c>
      <c r="AL45">
        <f>_xlfn.HYPGEOM.DIST($A1,$C$5,'Benchmarks by Card Role'!F$32,99,FALSE)</f>
        <v/>
      </c>
      <c r="AM45">
        <f>_xlfn.HYPGEOM.DIST($A1,$C$5,'Benchmarks by Card Role'!G$32,99,FALSE)</f>
        <v/>
      </c>
      <c r="AN45">
        <f>_xlfn.HYPGEOM.DIST($A1,$C$5,'Benchmarks by Card Role'!H$32,99,FALSE)</f>
        <v/>
      </c>
      <c r="AO45">
        <f>_xlfn.HYPGEOM.DIST($A1,$C$5,'Benchmarks by Card Role'!I$32,99,FALSE)</f>
        <v/>
      </c>
      <c r="AP45">
        <f>_xlfn.HYPGEOM.DIST($A1,$C$5,'Benchmarks by Card Role'!J$32,99,FALSE)</f>
        <v/>
      </c>
      <c r="AQ45">
        <f>_xlfn.HYPGEOM.DIST($A1,$C$5,'Benchmarks by Card Role'!K$32,99,FALSE)</f>
        <v/>
      </c>
      <c r="AR45">
        <f>_xlfn.HYPGEOM.DIST($A1,$C$5,'Benchmarks by Card Role'!L$32,99,FALSE)</f>
        <v/>
      </c>
      <c r="AT45">
        <f>_xlfn.HYPGEOM.DIST($A1,$C$5,'Benchmarks by Card Role'!D$42,99,FALSE)</f>
        <v/>
      </c>
      <c r="AU45">
        <f>_xlfn.HYPGEOM.DIST($A1,$C$5,'Benchmarks by Card Role'!E$42,99,FALSE)</f>
        <v/>
      </c>
      <c r="AV45">
        <f>_xlfn.HYPGEOM.DIST($A1,$C$5,'Benchmarks by Card Role'!F$42,99,FALSE)</f>
        <v/>
      </c>
      <c r="AW45">
        <f>_xlfn.HYPGEOM.DIST($A1,$C$5,'Benchmarks by Card Role'!G$42,99,FALSE)</f>
        <v/>
      </c>
      <c r="AX45">
        <f>_xlfn.HYPGEOM.DIST($A1,$C$5,'Benchmarks by Card Role'!H$42,99,FALSE)</f>
        <v/>
      </c>
      <c r="AY45">
        <f>_xlfn.HYPGEOM.DIST($A1,$C$5,'Benchmarks by Card Role'!I$42,99,FALSE)</f>
        <v/>
      </c>
      <c r="AZ45">
        <f>_xlfn.HYPGEOM.DIST($A1,$C$5,'Benchmarks by Card Role'!J$42,99,FALSE)</f>
        <v/>
      </c>
      <c r="BA45">
        <f>_xlfn.HYPGEOM.DIST($A1,$C$5,'Benchmarks by Card Role'!K$42,99,FALSE)</f>
        <v/>
      </c>
      <c r="BB45">
        <f>_xlfn.HYPGEOM.DIST($A1,$C$5,'Benchmarks by Card Role'!L$42,99,FALSE)</f>
        <v/>
      </c>
    </row>
    <row r="46">
      <c r="F46">
        <f>_xlfn.HYPGEOM.DIST($A2,$C$5,'Benchmarks by Card Role'!D$2,99,FALSE)</f>
        <v/>
      </c>
      <c r="G46">
        <f>_xlfn.HYPGEOM.DIST($A2,$C$5,'Benchmarks by Card Role'!E$2,99,FALSE)</f>
        <v/>
      </c>
      <c r="H46">
        <f>_xlfn.HYPGEOM.DIST($A2,$C$5,'Benchmarks by Card Role'!F$2,99,FALSE)</f>
        <v/>
      </c>
      <c r="I46">
        <f>_xlfn.HYPGEOM.DIST($A2,$C$5,'Benchmarks by Card Role'!G$2,99,FALSE)</f>
        <v/>
      </c>
      <c r="J46">
        <f>_xlfn.HYPGEOM.DIST($A2,$C$5,'Benchmarks by Card Role'!H$2,99,FALSE)</f>
        <v/>
      </c>
      <c r="K46">
        <f>_xlfn.HYPGEOM.DIST($A2,$C$5,'Benchmarks by Card Role'!I$2,99,FALSE)</f>
        <v/>
      </c>
      <c r="L46">
        <f>_xlfn.HYPGEOM.DIST($A2,$C$5,'Benchmarks by Card Role'!J$2,99,FALSE)</f>
        <v/>
      </c>
      <c r="M46">
        <f>_xlfn.HYPGEOM.DIST($A2,$C$5,'Benchmarks by Card Role'!K$2,99,FALSE)</f>
        <v/>
      </c>
      <c r="N46">
        <f>_xlfn.HYPGEOM.DIST($A2,$C$5,'Benchmarks by Card Role'!L$2,99,FALSE)</f>
        <v/>
      </c>
      <c r="P46">
        <f>_xlfn.HYPGEOM.DIST($A2,$C$5,'Benchmarks by Card Role'!D$12,99,FALSE)</f>
        <v/>
      </c>
      <c r="Q46">
        <f>_xlfn.HYPGEOM.DIST($A2,$C$5,'Benchmarks by Card Role'!E$12,99,FALSE)</f>
        <v/>
      </c>
      <c r="R46">
        <f>_xlfn.HYPGEOM.DIST($A2,$C$5,'Benchmarks by Card Role'!F$12,99,FALSE)</f>
        <v/>
      </c>
      <c r="S46">
        <f>_xlfn.HYPGEOM.DIST($A2,$C$5,'Benchmarks by Card Role'!G$12,99,FALSE)</f>
        <v/>
      </c>
      <c r="T46">
        <f>_xlfn.HYPGEOM.DIST($A2,$C$5,'Benchmarks by Card Role'!H$12,99,FALSE)</f>
        <v/>
      </c>
      <c r="U46">
        <f>_xlfn.HYPGEOM.DIST($A2,$C$5,'Benchmarks by Card Role'!I$12,99,FALSE)</f>
        <v/>
      </c>
      <c r="V46">
        <f>_xlfn.HYPGEOM.DIST($A2,$C$5,'Benchmarks by Card Role'!J$12,99,FALSE)</f>
        <v/>
      </c>
      <c r="W46">
        <f>_xlfn.HYPGEOM.DIST($A2,$C$5,'Benchmarks by Card Role'!K$12,99,FALSE)</f>
        <v/>
      </c>
      <c r="X46">
        <f>_xlfn.HYPGEOM.DIST($A2,$C$5,'Benchmarks by Card Role'!L$12,99,FALSE)</f>
        <v/>
      </c>
      <c r="Z46">
        <f>_xlfn.HYPGEOM.DIST($A2,$C$5,'Benchmarks by Card Role'!D$22,99,FALSE)</f>
        <v/>
      </c>
      <c r="AA46">
        <f>_xlfn.HYPGEOM.DIST($A2,$C$5,'Benchmarks by Card Role'!E$22,99,FALSE)</f>
        <v/>
      </c>
      <c r="AB46">
        <f>_xlfn.HYPGEOM.DIST($A2,$C$5,'Benchmarks by Card Role'!F$22,99,FALSE)</f>
        <v/>
      </c>
      <c r="AC46">
        <f>_xlfn.HYPGEOM.DIST($A2,$C$5,'Benchmarks by Card Role'!G$22,99,FALSE)</f>
        <v/>
      </c>
      <c r="AD46">
        <f>_xlfn.HYPGEOM.DIST($A2,$C$5,'Benchmarks by Card Role'!H$22,99,FALSE)</f>
        <v/>
      </c>
      <c r="AE46">
        <f>_xlfn.HYPGEOM.DIST($A2,$C$5,'Benchmarks by Card Role'!I$22,99,FALSE)</f>
        <v/>
      </c>
      <c r="AF46">
        <f>_xlfn.HYPGEOM.DIST($A2,$C$5,'Benchmarks by Card Role'!J$22,99,FALSE)</f>
        <v/>
      </c>
      <c r="AG46">
        <f>_xlfn.HYPGEOM.DIST($A2,$C$5,'Benchmarks by Card Role'!K$22,99,FALSE)</f>
        <v/>
      </c>
      <c r="AH46">
        <f>_xlfn.HYPGEOM.DIST($A2,$C$5,'Benchmarks by Card Role'!L$22,99,FALSE)</f>
        <v/>
      </c>
      <c r="AJ46">
        <f>_xlfn.HYPGEOM.DIST($A2,$C$5,'Benchmarks by Card Role'!D$32,99,FALSE)</f>
        <v/>
      </c>
      <c r="AK46">
        <f>_xlfn.HYPGEOM.DIST($A2,$C$5,'Benchmarks by Card Role'!E$32,99,FALSE)</f>
        <v/>
      </c>
      <c r="AL46">
        <f>_xlfn.HYPGEOM.DIST($A2,$C$5,'Benchmarks by Card Role'!F$32,99,FALSE)</f>
        <v/>
      </c>
      <c r="AM46">
        <f>_xlfn.HYPGEOM.DIST($A2,$C$5,'Benchmarks by Card Role'!G$32,99,FALSE)</f>
        <v/>
      </c>
      <c r="AN46">
        <f>_xlfn.HYPGEOM.DIST($A2,$C$5,'Benchmarks by Card Role'!H$32,99,FALSE)</f>
        <v/>
      </c>
      <c r="AO46">
        <f>_xlfn.HYPGEOM.DIST($A2,$C$5,'Benchmarks by Card Role'!I$32,99,FALSE)</f>
        <v/>
      </c>
      <c r="AP46">
        <f>_xlfn.HYPGEOM.DIST($A2,$C$5,'Benchmarks by Card Role'!J$32,99,FALSE)</f>
        <v/>
      </c>
      <c r="AQ46">
        <f>_xlfn.HYPGEOM.DIST($A2,$C$5,'Benchmarks by Card Role'!K$32,99,FALSE)</f>
        <v/>
      </c>
      <c r="AR46">
        <f>_xlfn.HYPGEOM.DIST($A2,$C$5,'Benchmarks by Card Role'!L$32,99,FALSE)</f>
        <v/>
      </c>
      <c r="AT46">
        <f>_xlfn.HYPGEOM.DIST($A2,$C$5,'Benchmarks by Card Role'!D$42,99,FALSE)</f>
        <v/>
      </c>
      <c r="AU46">
        <f>_xlfn.HYPGEOM.DIST($A2,$C$5,'Benchmarks by Card Role'!E$42,99,FALSE)</f>
        <v/>
      </c>
      <c r="AV46">
        <f>_xlfn.HYPGEOM.DIST($A2,$C$5,'Benchmarks by Card Role'!F$42,99,FALSE)</f>
        <v/>
      </c>
      <c r="AW46">
        <f>_xlfn.HYPGEOM.DIST($A2,$C$5,'Benchmarks by Card Role'!G$42,99,FALSE)</f>
        <v/>
      </c>
      <c r="AX46">
        <f>_xlfn.HYPGEOM.DIST($A2,$C$5,'Benchmarks by Card Role'!H$42,99,FALSE)</f>
        <v/>
      </c>
      <c r="AY46">
        <f>_xlfn.HYPGEOM.DIST($A2,$C$5,'Benchmarks by Card Role'!I$42,99,FALSE)</f>
        <v/>
      </c>
      <c r="AZ46">
        <f>_xlfn.HYPGEOM.DIST($A2,$C$5,'Benchmarks by Card Role'!J$42,99,FALSE)</f>
        <v/>
      </c>
      <c r="BA46">
        <f>_xlfn.HYPGEOM.DIST($A2,$C$5,'Benchmarks by Card Role'!K$42,99,FALSE)</f>
        <v/>
      </c>
      <c r="BB46">
        <f>_xlfn.HYPGEOM.DIST($A2,$C$5,'Benchmarks by Card Role'!L$42,99,FALSE)</f>
        <v/>
      </c>
    </row>
    <row r="47">
      <c r="F47">
        <f>_xlfn.HYPGEOM.DIST($A3,$C$5,'Benchmarks by Card Role'!D$2,99,FALSE)</f>
        <v/>
      </c>
      <c r="G47">
        <f>_xlfn.HYPGEOM.DIST($A3,$C$5,'Benchmarks by Card Role'!E$2,99,FALSE)</f>
        <v/>
      </c>
      <c r="H47">
        <f>_xlfn.HYPGEOM.DIST($A3,$C$5,'Benchmarks by Card Role'!F$2,99,FALSE)</f>
        <v/>
      </c>
      <c r="I47">
        <f>_xlfn.HYPGEOM.DIST($A3,$C$5,'Benchmarks by Card Role'!G$2,99,FALSE)</f>
        <v/>
      </c>
      <c r="J47">
        <f>_xlfn.HYPGEOM.DIST($A3,$C$5,'Benchmarks by Card Role'!H$2,99,FALSE)</f>
        <v/>
      </c>
      <c r="K47">
        <f>_xlfn.HYPGEOM.DIST($A3,$C$5,'Benchmarks by Card Role'!I$2,99,FALSE)</f>
        <v/>
      </c>
      <c r="L47">
        <f>_xlfn.HYPGEOM.DIST($A3,$C$5,'Benchmarks by Card Role'!J$2,99,FALSE)</f>
        <v/>
      </c>
      <c r="M47">
        <f>_xlfn.HYPGEOM.DIST($A3,$C$5,'Benchmarks by Card Role'!K$2,99,FALSE)</f>
        <v/>
      </c>
      <c r="N47">
        <f>_xlfn.HYPGEOM.DIST($A3,$C$5,'Benchmarks by Card Role'!L$2,99,FALSE)</f>
        <v/>
      </c>
      <c r="P47">
        <f>_xlfn.HYPGEOM.DIST($A3,$C$5,'Benchmarks by Card Role'!D$12,99,FALSE)</f>
        <v/>
      </c>
      <c r="Q47">
        <f>_xlfn.HYPGEOM.DIST($A3,$C$5,'Benchmarks by Card Role'!E$12,99,FALSE)</f>
        <v/>
      </c>
      <c r="R47">
        <f>_xlfn.HYPGEOM.DIST($A3,$C$5,'Benchmarks by Card Role'!F$12,99,FALSE)</f>
        <v/>
      </c>
      <c r="S47">
        <f>_xlfn.HYPGEOM.DIST($A3,$C$5,'Benchmarks by Card Role'!G$12,99,FALSE)</f>
        <v/>
      </c>
      <c r="T47">
        <f>_xlfn.HYPGEOM.DIST($A3,$C$5,'Benchmarks by Card Role'!H$12,99,FALSE)</f>
        <v/>
      </c>
      <c r="U47">
        <f>_xlfn.HYPGEOM.DIST($A3,$C$5,'Benchmarks by Card Role'!I$12,99,FALSE)</f>
        <v/>
      </c>
      <c r="V47">
        <f>_xlfn.HYPGEOM.DIST($A3,$C$5,'Benchmarks by Card Role'!J$12,99,FALSE)</f>
        <v/>
      </c>
      <c r="W47">
        <f>_xlfn.HYPGEOM.DIST($A3,$C$5,'Benchmarks by Card Role'!K$12,99,FALSE)</f>
        <v/>
      </c>
      <c r="X47">
        <f>_xlfn.HYPGEOM.DIST($A3,$C$5,'Benchmarks by Card Role'!L$12,99,FALSE)</f>
        <v/>
      </c>
      <c r="Z47">
        <f>_xlfn.HYPGEOM.DIST($A3,$C$5,'Benchmarks by Card Role'!D$22,99,FALSE)</f>
        <v/>
      </c>
      <c r="AA47">
        <f>_xlfn.HYPGEOM.DIST($A3,$C$5,'Benchmarks by Card Role'!E$22,99,FALSE)</f>
        <v/>
      </c>
      <c r="AB47">
        <f>_xlfn.HYPGEOM.DIST($A3,$C$5,'Benchmarks by Card Role'!F$22,99,FALSE)</f>
        <v/>
      </c>
      <c r="AC47">
        <f>_xlfn.HYPGEOM.DIST($A3,$C$5,'Benchmarks by Card Role'!G$22,99,FALSE)</f>
        <v/>
      </c>
      <c r="AD47">
        <f>_xlfn.HYPGEOM.DIST($A3,$C$5,'Benchmarks by Card Role'!H$22,99,FALSE)</f>
        <v/>
      </c>
      <c r="AE47">
        <f>_xlfn.HYPGEOM.DIST($A3,$C$5,'Benchmarks by Card Role'!I$22,99,FALSE)</f>
        <v/>
      </c>
      <c r="AF47">
        <f>_xlfn.HYPGEOM.DIST($A3,$C$5,'Benchmarks by Card Role'!J$22,99,FALSE)</f>
        <v/>
      </c>
      <c r="AG47">
        <f>_xlfn.HYPGEOM.DIST($A3,$C$5,'Benchmarks by Card Role'!K$22,99,FALSE)</f>
        <v/>
      </c>
      <c r="AH47">
        <f>_xlfn.HYPGEOM.DIST($A3,$C$5,'Benchmarks by Card Role'!L$22,99,FALSE)</f>
        <v/>
      </c>
      <c r="AJ47">
        <f>_xlfn.HYPGEOM.DIST($A3,$C$5,'Benchmarks by Card Role'!D$32,99,FALSE)</f>
        <v/>
      </c>
      <c r="AK47">
        <f>_xlfn.HYPGEOM.DIST($A3,$C$5,'Benchmarks by Card Role'!E$32,99,FALSE)</f>
        <v/>
      </c>
      <c r="AL47">
        <f>_xlfn.HYPGEOM.DIST($A3,$C$5,'Benchmarks by Card Role'!F$32,99,FALSE)</f>
        <v/>
      </c>
      <c r="AM47">
        <f>_xlfn.HYPGEOM.DIST($A3,$C$5,'Benchmarks by Card Role'!G$32,99,FALSE)</f>
        <v/>
      </c>
      <c r="AN47">
        <f>_xlfn.HYPGEOM.DIST($A3,$C$5,'Benchmarks by Card Role'!H$32,99,FALSE)</f>
        <v/>
      </c>
      <c r="AO47">
        <f>_xlfn.HYPGEOM.DIST($A3,$C$5,'Benchmarks by Card Role'!I$32,99,FALSE)</f>
        <v/>
      </c>
      <c r="AP47">
        <f>_xlfn.HYPGEOM.DIST($A3,$C$5,'Benchmarks by Card Role'!J$32,99,FALSE)</f>
        <v/>
      </c>
      <c r="AQ47">
        <f>_xlfn.HYPGEOM.DIST($A3,$C$5,'Benchmarks by Card Role'!K$32,99,FALSE)</f>
        <v/>
      </c>
      <c r="AR47">
        <f>_xlfn.HYPGEOM.DIST($A3,$C$5,'Benchmarks by Card Role'!L$32,99,FALSE)</f>
        <v/>
      </c>
      <c r="AT47">
        <f>_xlfn.HYPGEOM.DIST($A3,$C$5,'Benchmarks by Card Role'!D$42,99,FALSE)</f>
        <v/>
      </c>
      <c r="AU47">
        <f>_xlfn.HYPGEOM.DIST($A3,$C$5,'Benchmarks by Card Role'!E$42,99,FALSE)</f>
        <v/>
      </c>
      <c r="AV47">
        <f>_xlfn.HYPGEOM.DIST($A3,$C$5,'Benchmarks by Card Role'!F$42,99,FALSE)</f>
        <v/>
      </c>
      <c r="AW47">
        <f>_xlfn.HYPGEOM.DIST($A3,$C$5,'Benchmarks by Card Role'!G$42,99,FALSE)</f>
        <v/>
      </c>
      <c r="AX47">
        <f>_xlfn.HYPGEOM.DIST($A3,$C$5,'Benchmarks by Card Role'!H$42,99,FALSE)</f>
        <v/>
      </c>
      <c r="AY47">
        <f>_xlfn.HYPGEOM.DIST($A3,$C$5,'Benchmarks by Card Role'!I$42,99,FALSE)</f>
        <v/>
      </c>
      <c r="AZ47">
        <f>_xlfn.HYPGEOM.DIST($A3,$C$5,'Benchmarks by Card Role'!J$42,99,FALSE)</f>
        <v/>
      </c>
      <c r="BA47">
        <f>_xlfn.HYPGEOM.DIST($A3,$C$5,'Benchmarks by Card Role'!K$42,99,FALSE)</f>
        <v/>
      </c>
      <c r="BB47">
        <f>_xlfn.HYPGEOM.DIST($A3,$C$5,'Benchmarks by Card Role'!L$42,99,FALSE)</f>
        <v/>
      </c>
    </row>
    <row r="48">
      <c r="F48">
        <f>_xlfn.HYPGEOM.DIST($A4,$C$5,'Benchmarks by Card Role'!D$2,99,FALSE)</f>
        <v/>
      </c>
      <c r="G48">
        <f>_xlfn.HYPGEOM.DIST($A4,$C$5,'Benchmarks by Card Role'!E$2,99,FALSE)</f>
        <v/>
      </c>
      <c r="H48">
        <f>_xlfn.HYPGEOM.DIST($A4,$C$5,'Benchmarks by Card Role'!F$2,99,FALSE)</f>
        <v/>
      </c>
      <c r="I48">
        <f>_xlfn.HYPGEOM.DIST($A4,$C$5,'Benchmarks by Card Role'!G$2,99,FALSE)</f>
        <v/>
      </c>
      <c r="J48">
        <f>_xlfn.HYPGEOM.DIST($A4,$C$5,'Benchmarks by Card Role'!H$2,99,FALSE)</f>
        <v/>
      </c>
      <c r="K48">
        <f>_xlfn.HYPGEOM.DIST($A4,$C$5,'Benchmarks by Card Role'!I$2,99,FALSE)</f>
        <v/>
      </c>
      <c r="L48">
        <f>_xlfn.HYPGEOM.DIST($A4,$C$5,'Benchmarks by Card Role'!J$2,99,FALSE)</f>
        <v/>
      </c>
      <c r="M48">
        <f>_xlfn.HYPGEOM.DIST($A4,$C$5,'Benchmarks by Card Role'!K$2,99,FALSE)</f>
        <v/>
      </c>
      <c r="N48">
        <f>_xlfn.HYPGEOM.DIST($A4,$C$5,'Benchmarks by Card Role'!L$2,99,FALSE)</f>
        <v/>
      </c>
      <c r="P48">
        <f>_xlfn.HYPGEOM.DIST($A4,$C$5,'Benchmarks by Card Role'!D$12,99,FALSE)</f>
        <v/>
      </c>
      <c r="Q48">
        <f>_xlfn.HYPGEOM.DIST($A4,$C$5,'Benchmarks by Card Role'!E$12,99,FALSE)</f>
        <v/>
      </c>
      <c r="R48">
        <f>_xlfn.HYPGEOM.DIST($A4,$C$5,'Benchmarks by Card Role'!F$12,99,FALSE)</f>
        <v/>
      </c>
      <c r="S48">
        <f>_xlfn.HYPGEOM.DIST($A4,$C$5,'Benchmarks by Card Role'!G$12,99,FALSE)</f>
        <v/>
      </c>
      <c r="T48">
        <f>_xlfn.HYPGEOM.DIST($A4,$C$5,'Benchmarks by Card Role'!H$12,99,FALSE)</f>
        <v/>
      </c>
      <c r="U48">
        <f>_xlfn.HYPGEOM.DIST($A4,$C$5,'Benchmarks by Card Role'!I$12,99,FALSE)</f>
        <v/>
      </c>
      <c r="V48">
        <f>_xlfn.HYPGEOM.DIST($A4,$C$5,'Benchmarks by Card Role'!J$12,99,FALSE)</f>
        <v/>
      </c>
      <c r="W48">
        <f>_xlfn.HYPGEOM.DIST($A4,$C$5,'Benchmarks by Card Role'!K$12,99,FALSE)</f>
        <v/>
      </c>
      <c r="X48">
        <f>_xlfn.HYPGEOM.DIST($A4,$C$5,'Benchmarks by Card Role'!L$12,99,FALSE)</f>
        <v/>
      </c>
      <c r="Z48">
        <f>_xlfn.HYPGEOM.DIST($A4,$C$5,'Benchmarks by Card Role'!D$22,99,FALSE)</f>
        <v/>
      </c>
      <c r="AA48">
        <f>_xlfn.HYPGEOM.DIST($A4,$C$5,'Benchmarks by Card Role'!E$22,99,FALSE)</f>
        <v/>
      </c>
      <c r="AB48">
        <f>_xlfn.HYPGEOM.DIST($A4,$C$5,'Benchmarks by Card Role'!F$22,99,FALSE)</f>
        <v/>
      </c>
      <c r="AC48">
        <f>_xlfn.HYPGEOM.DIST($A4,$C$5,'Benchmarks by Card Role'!G$22,99,FALSE)</f>
        <v/>
      </c>
      <c r="AD48">
        <f>_xlfn.HYPGEOM.DIST($A4,$C$5,'Benchmarks by Card Role'!H$22,99,FALSE)</f>
        <v/>
      </c>
      <c r="AE48">
        <f>_xlfn.HYPGEOM.DIST($A4,$C$5,'Benchmarks by Card Role'!I$22,99,FALSE)</f>
        <v/>
      </c>
      <c r="AF48">
        <f>_xlfn.HYPGEOM.DIST($A4,$C$5,'Benchmarks by Card Role'!J$22,99,FALSE)</f>
        <v/>
      </c>
      <c r="AG48">
        <f>_xlfn.HYPGEOM.DIST($A4,$C$5,'Benchmarks by Card Role'!K$22,99,FALSE)</f>
        <v/>
      </c>
      <c r="AH48">
        <f>_xlfn.HYPGEOM.DIST($A4,$C$5,'Benchmarks by Card Role'!L$22,99,FALSE)</f>
        <v/>
      </c>
      <c r="AJ48">
        <f>_xlfn.HYPGEOM.DIST($A4,$C$5,'Benchmarks by Card Role'!D$32,99,FALSE)</f>
        <v/>
      </c>
      <c r="AK48">
        <f>_xlfn.HYPGEOM.DIST($A4,$C$5,'Benchmarks by Card Role'!E$32,99,FALSE)</f>
        <v/>
      </c>
      <c r="AL48">
        <f>_xlfn.HYPGEOM.DIST($A4,$C$5,'Benchmarks by Card Role'!F$32,99,FALSE)</f>
        <v/>
      </c>
      <c r="AM48">
        <f>_xlfn.HYPGEOM.DIST($A4,$C$5,'Benchmarks by Card Role'!G$32,99,FALSE)</f>
        <v/>
      </c>
      <c r="AN48">
        <f>_xlfn.HYPGEOM.DIST($A4,$C$5,'Benchmarks by Card Role'!H$32,99,FALSE)</f>
        <v/>
      </c>
      <c r="AO48">
        <f>_xlfn.HYPGEOM.DIST($A4,$C$5,'Benchmarks by Card Role'!I$32,99,FALSE)</f>
        <v/>
      </c>
      <c r="AP48">
        <f>_xlfn.HYPGEOM.DIST($A4,$C$5,'Benchmarks by Card Role'!J$32,99,FALSE)</f>
        <v/>
      </c>
      <c r="AQ48">
        <f>_xlfn.HYPGEOM.DIST($A4,$C$5,'Benchmarks by Card Role'!K$32,99,FALSE)</f>
        <v/>
      </c>
      <c r="AR48">
        <f>_xlfn.HYPGEOM.DIST($A4,$C$5,'Benchmarks by Card Role'!L$32,99,FALSE)</f>
        <v/>
      </c>
      <c r="AT48">
        <f>_xlfn.HYPGEOM.DIST($A4,$C$5,'Benchmarks by Card Role'!D$42,99,FALSE)</f>
        <v/>
      </c>
      <c r="AU48">
        <f>_xlfn.HYPGEOM.DIST($A4,$C$5,'Benchmarks by Card Role'!E$42,99,FALSE)</f>
        <v/>
      </c>
      <c r="AV48">
        <f>_xlfn.HYPGEOM.DIST($A4,$C$5,'Benchmarks by Card Role'!F$42,99,FALSE)</f>
        <v/>
      </c>
      <c r="AW48">
        <f>_xlfn.HYPGEOM.DIST($A4,$C$5,'Benchmarks by Card Role'!G$42,99,FALSE)</f>
        <v/>
      </c>
      <c r="AX48">
        <f>_xlfn.HYPGEOM.DIST($A4,$C$5,'Benchmarks by Card Role'!H$42,99,FALSE)</f>
        <v/>
      </c>
      <c r="AY48">
        <f>_xlfn.HYPGEOM.DIST($A4,$C$5,'Benchmarks by Card Role'!I$42,99,FALSE)</f>
        <v/>
      </c>
      <c r="AZ48">
        <f>_xlfn.HYPGEOM.DIST($A4,$C$5,'Benchmarks by Card Role'!J$42,99,FALSE)</f>
        <v/>
      </c>
      <c r="BA48">
        <f>_xlfn.HYPGEOM.DIST($A4,$C$5,'Benchmarks by Card Role'!K$42,99,FALSE)</f>
        <v/>
      </c>
      <c r="BB48">
        <f>_xlfn.HYPGEOM.DIST($A4,$C$5,'Benchmarks by Card Role'!L$42,99,FALSE)</f>
        <v/>
      </c>
    </row>
    <row r="49">
      <c r="F49">
        <f>_xlfn.HYPGEOM.DIST($A5,$C$5,'Benchmarks by Card Role'!D$2,99,FALSE)</f>
        <v/>
      </c>
      <c r="G49">
        <f>_xlfn.HYPGEOM.DIST($A5,$C$5,'Benchmarks by Card Role'!E$2,99,FALSE)</f>
        <v/>
      </c>
      <c r="H49">
        <f>_xlfn.HYPGEOM.DIST($A5,$C$5,'Benchmarks by Card Role'!F$2,99,FALSE)</f>
        <v/>
      </c>
      <c r="I49">
        <f>_xlfn.HYPGEOM.DIST($A5,$C$5,'Benchmarks by Card Role'!G$2,99,FALSE)</f>
        <v/>
      </c>
      <c r="J49">
        <f>_xlfn.HYPGEOM.DIST($A5,$C$5,'Benchmarks by Card Role'!H$2,99,FALSE)</f>
        <v/>
      </c>
      <c r="K49">
        <f>_xlfn.HYPGEOM.DIST($A5,$C$5,'Benchmarks by Card Role'!I$2,99,FALSE)</f>
        <v/>
      </c>
      <c r="L49">
        <f>_xlfn.HYPGEOM.DIST($A5,$C$5,'Benchmarks by Card Role'!J$2,99,FALSE)</f>
        <v/>
      </c>
      <c r="M49">
        <f>_xlfn.HYPGEOM.DIST($A5,$C$5,'Benchmarks by Card Role'!K$2,99,FALSE)</f>
        <v/>
      </c>
      <c r="N49">
        <f>_xlfn.HYPGEOM.DIST($A5,$C$5,'Benchmarks by Card Role'!L$2,99,FALSE)</f>
        <v/>
      </c>
      <c r="P49">
        <f>_xlfn.HYPGEOM.DIST($A5,$C$5,'Benchmarks by Card Role'!D$12,99,FALSE)</f>
        <v/>
      </c>
      <c r="Q49">
        <f>_xlfn.HYPGEOM.DIST($A5,$C$5,'Benchmarks by Card Role'!E$12,99,FALSE)</f>
        <v/>
      </c>
      <c r="R49">
        <f>_xlfn.HYPGEOM.DIST($A5,$C$5,'Benchmarks by Card Role'!F$12,99,FALSE)</f>
        <v/>
      </c>
      <c r="S49">
        <f>_xlfn.HYPGEOM.DIST($A5,$C$5,'Benchmarks by Card Role'!G$12,99,FALSE)</f>
        <v/>
      </c>
      <c r="T49">
        <f>_xlfn.HYPGEOM.DIST($A5,$C$5,'Benchmarks by Card Role'!H$12,99,FALSE)</f>
        <v/>
      </c>
      <c r="U49">
        <f>_xlfn.HYPGEOM.DIST($A5,$C$5,'Benchmarks by Card Role'!I$12,99,FALSE)</f>
        <v/>
      </c>
      <c r="V49">
        <f>_xlfn.HYPGEOM.DIST($A5,$C$5,'Benchmarks by Card Role'!J$12,99,FALSE)</f>
        <v/>
      </c>
      <c r="W49">
        <f>_xlfn.HYPGEOM.DIST($A5,$C$5,'Benchmarks by Card Role'!K$12,99,FALSE)</f>
        <v/>
      </c>
      <c r="X49">
        <f>_xlfn.HYPGEOM.DIST($A5,$C$5,'Benchmarks by Card Role'!L$12,99,FALSE)</f>
        <v/>
      </c>
      <c r="Z49">
        <f>_xlfn.HYPGEOM.DIST($A5,$C$5,'Benchmarks by Card Role'!D$22,99,FALSE)</f>
        <v/>
      </c>
      <c r="AA49">
        <f>_xlfn.HYPGEOM.DIST($A5,$C$5,'Benchmarks by Card Role'!E$22,99,FALSE)</f>
        <v/>
      </c>
      <c r="AB49">
        <f>_xlfn.HYPGEOM.DIST($A5,$C$5,'Benchmarks by Card Role'!F$22,99,FALSE)</f>
        <v/>
      </c>
      <c r="AC49">
        <f>_xlfn.HYPGEOM.DIST($A5,$C$5,'Benchmarks by Card Role'!G$22,99,FALSE)</f>
        <v/>
      </c>
      <c r="AD49">
        <f>_xlfn.HYPGEOM.DIST($A5,$C$5,'Benchmarks by Card Role'!H$22,99,FALSE)</f>
        <v/>
      </c>
      <c r="AE49">
        <f>_xlfn.HYPGEOM.DIST($A5,$C$5,'Benchmarks by Card Role'!I$22,99,FALSE)</f>
        <v/>
      </c>
      <c r="AF49">
        <f>_xlfn.HYPGEOM.DIST($A5,$C$5,'Benchmarks by Card Role'!J$22,99,FALSE)</f>
        <v/>
      </c>
      <c r="AG49">
        <f>_xlfn.HYPGEOM.DIST($A5,$C$5,'Benchmarks by Card Role'!K$22,99,FALSE)</f>
        <v/>
      </c>
      <c r="AH49">
        <f>_xlfn.HYPGEOM.DIST($A5,$C$5,'Benchmarks by Card Role'!L$22,99,FALSE)</f>
        <v/>
      </c>
      <c r="AJ49">
        <f>_xlfn.HYPGEOM.DIST($A5,$C$5,'Benchmarks by Card Role'!D$32,99,FALSE)</f>
        <v/>
      </c>
      <c r="AK49">
        <f>_xlfn.HYPGEOM.DIST($A5,$C$5,'Benchmarks by Card Role'!E$32,99,FALSE)</f>
        <v/>
      </c>
      <c r="AL49">
        <f>_xlfn.HYPGEOM.DIST($A5,$C$5,'Benchmarks by Card Role'!F$32,99,FALSE)</f>
        <v/>
      </c>
      <c r="AM49">
        <f>_xlfn.HYPGEOM.DIST($A5,$C$5,'Benchmarks by Card Role'!G$32,99,FALSE)</f>
        <v/>
      </c>
      <c r="AN49">
        <f>_xlfn.HYPGEOM.DIST($A5,$C$5,'Benchmarks by Card Role'!H$32,99,FALSE)</f>
        <v/>
      </c>
      <c r="AO49">
        <f>_xlfn.HYPGEOM.DIST($A5,$C$5,'Benchmarks by Card Role'!I$32,99,FALSE)</f>
        <v/>
      </c>
      <c r="AP49">
        <f>_xlfn.HYPGEOM.DIST($A5,$C$5,'Benchmarks by Card Role'!J$32,99,FALSE)</f>
        <v/>
      </c>
      <c r="AQ49">
        <f>_xlfn.HYPGEOM.DIST($A5,$C$5,'Benchmarks by Card Role'!K$32,99,FALSE)</f>
        <v/>
      </c>
      <c r="AR49">
        <f>_xlfn.HYPGEOM.DIST($A5,$C$5,'Benchmarks by Card Role'!L$32,99,FALSE)</f>
        <v/>
      </c>
      <c r="AT49">
        <f>_xlfn.HYPGEOM.DIST($A5,$C$5,'Benchmarks by Card Role'!D$42,99,FALSE)</f>
        <v/>
      </c>
      <c r="AU49">
        <f>_xlfn.HYPGEOM.DIST($A5,$C$5,'Benchmarks by Card Role'!E$42,99,FALSE)</f>
        <v/>
      </c>
      <c r="AV49">
        <f>_xlfn.HYPGEOM.DIST($A5,$C$5,'Benchmarks by Card Role'!F$42,99,FALSE)</f>
        <v/>
      </c>
      <c r="AW49">
        <f>_xlfn.HYPGEOM.DIST($A5,$C$5,'Benchmarks by Card Role'!G$42,99,FALSE)</f>
        <v/>
      </c>
      <c r="AX49">
        <f>_xlfn.HYPGEOM.DIST($A5,$C$5,'Benchmarks by Card Role'!H$42,99,FALSE)</f>
        <v/>
      </c>
      <c r="AY49">
        <f>_xlfn.HYPGEOM.DIST($A5,$C$5,'Benchmarks by Card Role'!I$42,99,FALSE)</f>
        <v/>
      </c>
      <c r="AZ49">
        <f>_xlfn.HYPGEOM.DIST($A5,$C$5,'Benchmarks by Card Role'!J$42,99,FALSE)</f>
        <v/>
      </c>
      <c r="BA49">
        <f>_xlfn.HYPGEOM.DIST($A5,$C$5,'Benchmarks by Card Role'!K$42,99,FALSE)</f>
        <v/>
      </c>
      <c r="BB49">
        <f>_xlfn.HYPGEOM.DIST($A5,$C$5,'Benchmarks by Card Role'!L$42,99,FALSE)</f>
        <v/>
      </c>
    </row>
    <row r="50">
      <c r="F50">
        <f>_xlfn.HYPGEOM.DIST($A6,$C$5,'Benchmarks by Card Role'!D$2,99,FALSE)</f>
        <v/>
      </c>
      <c r="G50">
        <f>_xlfn.HYPGEOM.DIST($A6,$C$5,'Benchmarks by Card Role'!E$2,99,FALSE)</f>
        <v/>
      </c>
      <c r="H50">
        <f>_xlfn.HYPGEOM.DIST($A6,$C$5,'Benchmarks by Card Role'!F$2,99,FALSE)</f>
        <v/>
      </c>
      <c r="I50">
        <f>_xlfn.HYPGEOM.DIST($A6,$C$5,'Benchmarks by Card Role'!G$2,99,FALSE)</f>
        <v/>
      </c>
      <c r="J50">
        <f>_xlfn.HYPGEOM.DIST($A6,$C$5,'Benchmarks by Card Role'!H$2,99,FALSE)</f>
        <v/>
      </c>
      <c r="K50">
        <f>_xlfn.HYPGEOM.DIST($A6,$C$5,'Benchmarks by Card Role'!I$2,99,FALSE)</f>
        <v/>
      </c>
      <c r="L50">
        <f>_xlfn.HYPGEOM.DIST($A6,$C$5,'Benchmarks by Card Role'!J$2,99,FALSE)</f>
        <v/>
      </c>
      <c r="M50">
        <f>_xlfn.HYPGEOM.DIST($A6,$C$5,'Benchmarks by Card Role'!K$2,99,FALSE)</f>
        <v/>
      </c>
      <c r="N50">
        <f>_xlfn.HYPGEOM.DIST($A6,$C$5,'Benchmarks by Card Role'!L$2,99,FALSE)</f>
        <v/>
      </c>
      <c r="P50">
        <f>_xlfn.HYPGEOM.DIST($A6,$C$5,'Benchmarks by Card Role'!D$12,99,FALSE)</f>
        <v/>
      </c>
      <c r="Q50">
        <f>_xlfn.HYPGEOM.DIST($A6,$C$5,'Benchmarks by Card Role'!E$12,99,FALSE)</f>
        <v/>
      </c>
      <c r="R50">
        <f>_xlfn.HYPGEOM.DIST($A6,$C$5,'Benchmarks by Card Role'!F$12,99,FALSE)</f>
        <v/>
      </c>
      <c r="S50">
        <f>_xlfn.HYPGEOM.DIST($A6,$C$5,'Benchmarks by Card Role'!G$12,99,FALSE)</f>
        <v/>
      </c>
      <c r="T50">
        <f>_xlfn.HYPGEOM.DIST($A6,$C$5,'Benchmarks by Card Role'!H$12,99,FALSE)</f>
        <v/>
      </c>
      <c r="U50">
        <f>_xlfn.HYPGEOM.DIST($A6,$C$5,'Benchmarks by Card Role'!I$12,99,FALSE)</f>
        <v/>
      </c>
      <c r="V50">
        <f>_xlfn.HYPGEOM.DIST($A6,$C$5,'Benchmarks by Card Role'!J$12,99,FALSE)</f>
        <v/>
      </c>
      <c r="W50">
        <f>_xlfn.HYPGEOM.DIST($A6,$C$5,'Benchmarks by Card Role'!K$12,99,FALSE)</f>
        <v/>
      </c>
      <c r="X50">
        <f>_xlfn.HYPGEOM.DIST($A6,$C$5,'Benchmarks by Card Role'!L$12,99,FALSE)</f>
        <v/>
      </c>
      <c r="Z50">
        <f>_xlfn.HYPGEOM.DIST($A6,$C$5,'Benchmarks by Card Role'!D$22,99,FALSE)</f>
        <v/>
      </c>
      <c r="AA50">
        <f>_xlfn.HYPGEOM.DIST($A6,$C$5,'Benchmarks by Card Role'!E$22,99,FALSE)</f>
        <v/>
      </c>
      <c r="AB50">
        <f>_xlfn.HYPGEOM.DIST($A6,$C$5,'Benchmarks by Card Role'!F$22,99,FALSE)</f>
        <v/>
      </c>
      <c r="AC50">
        <f>_xlfn.HYPGEOM.DIST($A6,$C$5,'Benchmarks by Card Role'!G$22,99,FALSE)</f>
        <v/>
      </c>
      <c r="AD50">
        <f>_xlfn.HYPGEOM.DIST($A6,$C$5,'Benchmarks by Card Role'!H$22,99,FALSE)</f>
        <v/>
      </c>
      <c r="AE50">
        <f>_xlfn.HYPGEOM.DIST($A6,$C$5,'Benchmarks by Card Role'!I$22,99,FALSE)</f>
        <v/>
      </c>
      <c r="AF50">
        <f>_xlfn.HYPGEOM.DIST($A6,$C$5,'Benchmarks by Card Role'!J$22,99,FALSE)</f>
        <v/>
      </c>
      <c r="AG50">
        <f>_xlfn.HYPGEOM.DIST($A6,$C$5,'Benchmarks by Card Role'!K$22,99,FALSE)</f>
        <v/>
      </c>
      <c r="AH50">
        <f>_xlfn.HYPGEOM.DIST($A6,$C$5,'Benchmarks by Card Role'!L$22,99,FALSE)</f>
        <v/>
      </c>
      <c r="AJ50">
        <f>_xlfn.HYPGEOM.DIST($A6,$C$5,'Benchmarks by Card Role'!D$32,99,FALSE)</f>
        <v/>
      </c>
      <c r="AK50">
        <f>_xlfn.HYPGEOM.DIST($A6,$C$5,'Benchmarks by Card Role'!E$32,99,FALSE)</f>
        <v/>
      </c>
      <c r="AL50">
        <f>_xlfn.HYPGEOM.DIST($A6,$C$5,'Benchmarks by Card Role'!F$32,99,FALSE)</f>
        <v/>
      </c>
      <c r="AM50">
        <f>_xlfn.HYPGEOM.DIST($A6,$C$5,'Benchmarks by Card Role'!G$32,99,FALSE)</f>
        <v/>
      </c>
      <c r="AN50">
        <f>_xlfn.HYPGEOM.DIST($A6,$C$5,'Benchmarks by Card Role'!H$32,99,FALSE)</f>
        <v/>
      </c>
      <c r="AO50">
        <f>_xlfn.HYPGEOM.DIST($A6,$C$5,'Benchmarks by Card Role'!I$32,99,FALSE)</f>
        <v/>
      </c>
      <c r="AP50">
        <f>_xlfn.HYPGEOM.DIST($A6,$C$5,'Benchmarks by Card Role'!J$32,99,FALSE)</f>
        <v/>
      </c>
      <c r="AQ50">
        <f>_xlfn.HYPGEOM.DIST($A6,$C$5,'Benchmarks by Card Role'!K$32,99,FALSE)</f>
        <v/>
      </c>
      <c r="AR50">
        <f>_xlfn.HYPGEOM.DIST($A6,$C$5,'Benchmarks by Card Role'!L$32,99,FALSE)</f>
        <v/>
      </c>
      <c r="AT50">
        <f>_xlfn.HYPGEOM.DIST($A6,$C$5,'Benchmarks by Card Role'!D$42,99,FALSE)</f>
        <v/>
      </c>
      <c r="AU50">
        <f>_xlfn.HYPGEOM.DIST($A6,$C$5,'Benchmarks by Card Role'!E$42,99,FALSE)</f>
        <v/>
      </c>
      <c r="AV50">
        <f>_xlfn.HYPGEOM.DIST($A6,$C$5,'Benchmarks by Card Role'!F$42,99,FALSE)</f>
        <v/>
      </c>
      <c r="AW50">
        <f>_xlfn.HYPGEOM.DIST($A6,$C$5,'Benchmarks by Card Role'!G$42,99,FALSE)</f>
        <v/>
      </c>
      <c r="AX50">
        <f>_xlfn.HYPGEOM.DIST($A6,$C$5,'Benchmarks by Card Role'!H$42,99,FALSE)</f>
        <v/>
      </c>
      <c r="AY50">
        <f>_xlfn.HYPGEOM.DIST($A6,$C$5,'Benchmarks by Card Role'!I$42,99,FALSE)</f>
        <v/>
      </c>
      <c r="AZ50">
        <f>_xlfn.HYPGEOM.DIST($A6,$C$5,'Benchmarks by Card Role'!J$42,99,FALSE)</f>
        <v/>
      </c>
      <c r="BA50">
        <f>_xlfn.HYPGEOM.DIST($A6,$C$5,'Benchmarks by Card Role'!K$42,99,FALSE)</f>
        <v/>
      </c>
      <c r="BB50">
        <f>_xlfn.HYPGEOM.DIST($A6,$C$5,'Benchmarks by Card Role'!L$42,99,FALSE)</f>
        <v/>
      </c>
    </row>
    <row r="51">
      <c r="F51">
        <f>_xlfn.HYPGEOM.DIST($A7,$C$5,'Benchmarks by Card Role'!D$2,99,FALSE)</f>
        <v/>
      </c>
      <c r="G51">
        <f>_xlfn.HYPGEOM.DIST($A7,$C$5,'Benchmarks by Card Role'!E$2,99,FALSE)</f>
        <v/>
      </c>
      <c r="H51">
        <f>_xlfn.HYPGEOM.DIST($A7,$C$5,'Benchmarks by Card Role'!F$2,99,FALSE)</f>
        <v/>
      </c>
      <c r="I51">
        <f>_xlfn.HYPGEOM.DIST($A7,$C$5,'Benchmarks by Card Role'!G$2,99,FALSE)</f>
        <v/>
      </c>
      <c r="J51">
        <f>_xlfn.HYPGEOM.DIST($A7,$C$5,'Benchmarks by Card Role'!H$2,99,FALSE)</f>
        <v/>
      </c>
      <c r="K51">
        <f>_xlfn.HYPGEOM.DIST($A7,$C$5,'Benchmarks by Card Role'!I$2,99,FALSE)</f>
        <v/>
      </c>
      <c r="L51">
        <f>_xlfn.HYPGEOM.DIST($A7,$C$5,'Benchmarks by Card Role'!J$2,99,FALSE)</f>
        <v/>
      </c>
      <c r="M51">
        <f>_xlfn.HYPGEOM.DIST($A7,$C$5,'Benchmarks by Card Role'!K$2,99,FALSE)</f>
        <v/>
      </c>
      <c r="N51">
        <f>_xlfn.HYPGEOM.DIST($A7,$C$5,'Benchmarks by Card Role'!L$2,99,FALSE)</f>
        <v/>
      </c>
      <c r="P51">
        <f>_xlfn.HYPGEOM.DIST($A7,$C$5,'Benchmarks by Card Role'!D$12,99,FALSE)</f>
        <v/>
      </c>
      <c r="Q51">
        <f>_xlfn.HYPGEOM.DIST($A7,$C$5,'Benchmarks by Card Role'!E$12,99,FALSE)</f>
        <v/>
      </c>
      <c r="R51">
        <f>_xlfn.HYPGEOM.DIST($A7,$C$5,'Benchmarks by Card Role'!F$12,99,FALSE)</f>
        <v/>
      </c>
      <c r="S51">
        <f>_xlfn.HYPGEOM.DIST($A7,$C$5,'Benchmarks by Card Role'!G$12,99,FALSE)</f>
        <v/>
      </c>
      <c r="T51">
        <f>_xlfn.HYPGEOM.DIST($A7,$C$5,'Benchmarks by Card Role'!H$12,99,FALSE)</f>
        <v/>
      </c>
      <c r="U51">
        <f>_xlfn.HYPGEOM.DIST($A7,$C$5,'Benchmarks by Card Role'!I$12,99,FALSE)</f>
        <v/>
      </c>
      <c r="V51">
        <f>_xlfn.HYPGEOM.DIST($A7,$C$5,'Benchmarks by Card Role'!J$12,99,FALSE)</f>
        <v/>
      </c>
      <c r="W51">
        <f>_xlfn.HYPGEOM.DIST($A7,$C$5,'Benchmarks by Card Role'!K$12,99,FALSE)</f>
        <v/>
      </c>
      <c r="X51">
        <f>_xlfn.HYPGEOM.DIST($A7,$C$5,'Benchmarks by Card Role'!L$12,99,FALSE)</f>
        <v/>
      </c>
      <c r="Z51">
        <f>_xlfn.HYPGEOM.DIST($A7,$C$5,'Benchmarks by Card Role'!D$22,99,FALSE)</f>
        <v/>
      </c>
      <c r="AA51">
        <f>_xlfn.HYPGEOM.DIST($A7,$C$5,'Benchmarks by Card Role'!E$22,99,FALSE)</f>
        <v/>
      </c>
      <c r="AB51">
        <f>_xlfn.HYPGEOM.DIST($A7,$C$5,'Benchmarks by Card Role'!F$22,99,FALSE)</f>
        <v/>
      </c>
      <c r="AC51">
        <f>_xlfn.HYPGEOM.DIST($A7,$C$5,'Benchmarks by Card Role'!G$22,99,FALSE)</f>
        <v/>
      </c>
      <c r="AD51">
        <f>_xlfn.HYPGEOM.DIST($A7,$C$5,'Benchmarks by Card Role'!H$22,99,FALSE)</f>
        <v/>
      </c>
      <c r="AE51">
        <f>_xlfn.HYPGEOM.DIST($A7,$C$5,'Benchmarks by Card Role'!I$22,99,FALSE)</f>
        <v/>
      </c>
      <c r="AF51">
        <f>_xlfn.HYPGEOM.DIST($A7,$C$5,'Benchmarks by Card Role'!J$22,99,FALSE)</f>
        <v/>
      </c>
      <c r="AG51">
        <f>_xlfn.HYPGEOM.DIST($A7,$C$5,'Benchmarks by Card Role'!K$22,99,FALSE)</f>
        <v/>
      </c>
      <c r="AH51">
        <f>_xlfn.HYPGEOM.DIST($A7,$C$5,'Benchmarks by Card Role'!L$22,99,FALSE)</f>
        <v/>
      </c>
      <c r="AJ51">
        <f>_xlfn.HYPGEOM.DIST($A7,$C$5,'Benchmarks by Card Role'!D$32,99,FALSE)</f>
        <v/>
      </c>
      <c r="AK51">
        <f>_xlfn.HYPGEOM.DIST($A7,$C$5,'Benchmarks by Card Role'!E$32,99,FALSE)</f>
        <v/>
      </c>
      <c r="AL51">
        <f>_xlfn.HYPGEOM.DIST($A7,$C$5,'Benchmarks by Card Role'!F$32,99,FALSE)</f>
        <v/>
      </c>
      <c r="AM51">
        <f>_xlfn.HYPGEOM.DIST($A7,$C$5,'Benchmarks by Card Role'!G$32,99,FALSE)</f>
        <v/>
      </c>
      <c r="AN51">
        <f>_xlfn.HYPGEOM.DIST($A7,$C$5,'Benchmarks by Card Role'!H$32,99,FALSE)</f>
        <v/>
      </c>
      <c r="AO51">
        <f>_xlfn.HYPGEOM.DIST($A7,$C$5,'Benchmarks by Card Role'!I$32,99,FALSE)</f>
        <v/>
      </c>
      <c r="AP51">
        <f>_xlfn.HYPGEOM.DIST($A7,$C$5,'Benchmarks by Card Role'!J$32,99,FALSE)</f>
        <v/>
      </c>
      <c r="AQ51">
        <f>_xlfn.HYPGEOM.DIST($A7,$C$5,'Benchmarks by Card Role'!K$32,99,FALSE)</f>
        <v/>
      </c>
      <c r="AR51">
        <f>_xlfn.HYPGEOM.DIST($A7,$C$5,'Benchmarks by Card Role'!L$32,99,FALSE)</f>
        <v/>
      </c>
      <c r="AT51">
        <f>_xlfn.HYPGEOM.DIST($A7,$C$5,'Benchmarks by Card Role'!D$42,99,FALSE)</f>
        <v/>
      </c>
      <c r="AU51">
        <f>_xlfn.HYPGEOM.DIST($A7,$C$5,'Benchmarks by Card Role'!E$42,99,FALSE)</f>
        <v/>
      </c>
      <c r="AV51">
        <f>_xlfn.HYPGEOM.DIST($A7,$C$5,'Benchmarks by Card Role'!F$42,99,FALSE)</f>
        <v/>
      </c>
      <c r="AW51">
        <f>_xlfn.HYPGEOM.DIST($A7,$C$5,'Benchmarks by Card Role'!G$42,99,FALSE)</f>
        <v/>
      </c>
      <c r="AX51">
        <f>_xlfn.HYPGEOM.DIST($A7,$C$5,'Benchmarks by Card Role'!H$42,99,FALSE)</f>
        <v/>
      </c>
      <c r="AY51">
        <f>_xlfn.HYPGEOM.DIST($A7,$C$5,'Benchmarks by Card Role'!I$42,99,FALSE)</f>
        <v/>
      </c>
      <c r="AZ51">
        <f>_xlfn.HYPGEOM.DIST($A7,$C$5,'Benchmarks by Card Role'!J$42,99,FALSE)</f>
        <v/>
      </c>
      <c r="BA51">
        <f>_xlfn.HYPGEOM.DIST($A7,$C$5,'Benchmarks by Card Role'!K$42,99,FALSE)</f>
        <v/>
      </c>
      <c r="BB51">
        <f>_xlfn.HYPGEOM.DIST($A7,$C$5,'Benchmarks by Card Role'!L$42,99,FALSE)</f>
        <v/>
      </c>
    </row>
    <row r="52">
      <c r="F52">
        <f>_xlfn.HYPGEOM.DIST($A8,$C$5,'Benchmarks by Card Role'!D$2,99,FALSE)</f>
        <v/>
      </c>
      <c r="G52">
        <f>_xlfn.HYPGEOM.DIST($A8,$C$5,'Benchmarks by Card Role'!E$2,99,FALSE)</f>
        <v/>
      </c>
      <c r="H52">
        <f>_xlfn.HYPGEOM.DIST($A8,$C$5,'Benchmarks by Card Role'!F$2,99,FALSE)</f>
        <v/>
      </c>
      <c r="I52">
        <f>_xlfn.HYPGEOM.DIST($A8,$C$5,'Benchmarks by Card Role'!G$2,99,FALSE)</f>
        <v/>
      </c>
      <c r="J52">
        <f>_xlfn.HYPGEOM.DIST($A8,$C$5,'Benchmarks by Card Role'!H$2,99,FALSE)</f>
        <v/>
      </c>
      <c r="K52">
        <f>_xlfn.HYPGEOM.DIST($A8,$C$5,'Benchmarks by Card Role'!I$2,99,FALSE)</f>
        <v/>
      </c>
      <c r="L52">
        <f>_xlfn.HYPGEOM.DIST($A8,$C$5,'Benchmarks by Card Role'!J$2,99,FALSE)</f>
        <v/>
      </c>
      <c r="M52">
        <f>_xlfn.HYPGEOM.DIST($A8,$C$5,'Benchmarks by Card Role'!K$2,99,FALSE)</f>
        <v/>
      </c>
      <c r="N52">
        <f>_xlfn.HYPGEOM.DIST($A8,$C$5,'Benchmarks by Card Role'!L$2,99,FALSE)</f>
        <v/>
      </c>
      <c r="P52">
        <f>_xlfn.HYPGEOM.DIST($A8,$C$5,'Benchmarks by Card Role'!D$12,99,FALSE)</f>
        <v/>
      </c>
      <c r="Q52">
        <f>_xlfn.HYPGEOM.DIST($A8,$C$5,'Benchmarks by Card Role'!E$12,99,FALSE)</f>
        <v/>
      </c>
      <c r="R52">
        <f>_xlfn.HYPGEOM.DIST($A8,$C$5,'Benchmarks by Card Role'!F$12,99,FALSE)</f>
        <v/>
      </c>
      <c r="S52">
        <f>_xlfn.HYPGEOM.DIST($A8,$C$5,'Benchmarks by Card Role'!G$12,99,FALSE)</f>
        <v/>
      </c>
      <c r="T52">
        <f>_xlfn.HYPGEOM.DIST($A8,$C$5,'Benchmarks by Card Role'!H$12,99,FALSE)</f>
        <v/>
      </c>
      <c r="U52">
        <f>_xlfn.HYPGEOM.DIST($A8,$C$5,'Benchmarks by Card Role'!I$12,99,FALSE)</f>
        <v/>
      </c>
      <c r="V52">
        <f>_xlfn.HYPGEOM.DIST($A8,$C$5,'Benchmarks by Card Role'!J$12,99,FALSE)</f>
        <v/>
      </c>
      <c r="W52">
        <f>_xlfn.HYPGEOM.DIST($A8,$C$5,'Benchmarks by Card Role'!K$12,99,FALSE)</f>
        <v/>
      </c>
      <c r="X52">
        <f>_xlfn.HYPGEOM.DIST($A8,$C$5,'Benchmarks by Card Role'!L$12,99,FALSE)</f>
        <v/>
      </c>
      <c r="Z52">
        <f>_xlfn.HYPGEOM.DIST($A8,$C$5,'Benchmarks by Card Role'!D$22,99,FALSE)</f>
        <v/>
      </c>
      <c r="AA52">
        <f>_xlfn.HYPGEOM.DIST($A8,$C$5,'Benchmarks by Card Role'!E$22,99,FALSE)</f>
        <v/>
      </c>
      <c r="AB52">
        <f>_xlfn.HYPGEOM.DIST($A8,$C$5,'Benchmarks by Card Role'!F$22,99,FALSE)</f>
        <v/>
      </c>
      <c r="AC52">
        <f>_xlfn.HYPGEOM.DIST($A8,$C$5,'Benchmarks by Card Role'!G$22,99,FALSE)</f>
        <v/>
      </c>
      <c r="AD52">
        <f>_xlfn.HYPGEOM.DIST($A8,$C$5,'Benchmarks by Card Role'!H$22,99,FALSE)</f>
        <v/>
      </c>
      <c r="AE52">
        <f>_xlfn.HYPGEOM.DIST($A8,$C$5,'Benchmarks by Card Role'!I$22,99,FALSE)</f>
        <v/>
      </c>
      <c r="AF52">
        <f>_xlfn.HYPGEOM.DIST($A8,$C$5,'Benchmarks by Card Role'!J$22,99,FALSE)</f>
        <v/>
      </c>
      <c r="AG52">
        <f>_xlfn.HYPGEOM.DIST($A8,$C$5,'Benchmarks by Card Role'!K$22,99,FALSE)</f>
        <v/>
      </c>
      <c r="AH52">
        <f>_xlfn.HYPGEOM.DIST($A8,$C$5,'Benchmarks by Card Role'!L$22,99,FALSE)</f>
        <v/>
      </c>
      <c r="AJ52">
        <f>_xlfn.HYPGEOM.DIST($A8,$C$5,'Benchmarks by Card Role'!D$32,99,FALSE)</f>
        <v/>
      </c>
      <c r="AK52">
        <f>_xlfn.HYPGEOM.DIST($A8,$C$5,'Benchmarks by Card Role'!E$32,99,FALSE)</f>
        <v/>
      </c>
      <c r="AL52">
        <f>_xlfn.HYPGEOM.DIST($A8,$C$5,'Benchmarks by Card Role'!F$32,99,FALSE)</f>
        <v/>
      </c>
      <c r="AM52">
        <f>_xlfn.HYPGEOM.DIST($A8,$C$5,'Benchmarks by Card Role'!G$32,99,FALSE)</f>
        <v/>
      </c>
      <c r="AN52">
        <f>_xlfn.HYPGEOM.DIST($A8,$C$5,'Benchmarks by Card Role'!H$32,99,FALSE)</f>
        <v/>
      </c>
      <c r="AO52">
        <f>_xlfn.HYPGEOM.DIST($A8,$C$5,'Benchmarks by Card Role'!I$32,99,FALSE)</f>
        <v/>
      </c>
      <c r="AP52">
        <f>_xlfn.HYPGEOM.DIST($A8,$C$5,'Benchmarks by Card Role'!J$32,99,FALSE)</f>
        <v/>
      </c>
      <c r="AQ52">
        <f>_xlfn.HYPGEOM.DIST($A8,$C$5,'Benchmarks by Card Role'!K$32,99,FALSE)</f>
        <v/>
      </c>
      <c r="AR52">
        <f>_xlfn.HYPGEOM.DIST($A8,$C$5,'Benchmarks by Card Role'!L$32,99,FALSE)</f>
        <v/>
      </c>
      <c r="AT52">
        <f>_xlfn.HYPGEOM.DIST($A8,$C$5,'Benchmarks by Card Role'!D$42,99,FALSE)</f>
        <v/>
      </c>
      <c r="AU52">
        <f>_xlfn.HYPGEOM.DIST($A8,$C$5,'Benchmarks by Card Role'!E$42,99,FALSE)</f>
        <v/>
      </c>
      <c r="AV52">
        <f>_xlfn.HYPGEOM.DIST($A8,$C$5,'Benchmarks by Card Role'!F$42,99,FALSE)</f>
        <v/>
      </c>
      <c r="AW52">
        <f>_xlfn.HYPGEOM.DIST($A8,$C$5,'Benchmarks by Card Role'!G$42,99,FALSE)</f>
        <v/>
      </c>
      <c r="AX52">
        <f>_xlfn.HYPGEOM.DIST($A8,$C$5,'Benchmarks by Card Role'!H$42,99,FALSE)</f>
        <v/>
      </c>
      <c r="AY52">
        <f>_xlfn.HYPGEOM.DIST($A8,$C$5,'Benchmarks by Card Role'!I$42,99,FALSE)</f>
        <v/>
      </c>
      <c r="AZ52">
        <f>_xlfn.HYPGEOM.DIST($A8,$C$5,'Benchmarks by Card Role'!J$42,99,FALSE)</f>
        <v/>
      </c>
      <c r="BA52">
        <f>_xlfn.HYPGEOM.DIST($A8,$C$5,'Benchmarks by Card Role'!K$42,99,FALSE)</f>
        <v/>
      </c>
      <c r="BB52">
        <f>_xlfn.HYPGEOM.DIST($A8,$C$5,'Benchmarks by Card Role'!L$42,99,FALSE)</f>
        <v/>
      </c>
    </row>
    <row r="53">
      <c r="F53">
        <f>_xlfn.HYPGEOM.DIST($A9,$C$5,'Benchmarks by Card Role'!D$2,99,FALSE)</f>
        <v/>
      </c>
      <c r="G53">
        <f>_xlfn.HYPGEOM.DIST($A9,$C$5,'Benchmarks by Card Role'!E$2,99,FALSE)</f>
        <v/>
      </c>
      <c r="H53">
        <f>_xlfn.HYPGEOM.DIST($A9,$C$5,'Benchmarks by Card Role'!F$2,99,FALSE)</f>
        <v/>
      </c>
      <c r="I53">
        <f>_xlfn.HYPGEOM.DIST($A9,$C$5,'Benchmarks by Card Role'!G$2,99,FALSE)</f>
        <v/>
      </c>
      <c r="J53">
        <f>_xlfn.HYPGEOM.DIST($A9,$C$5,'Benchmarks by Card Role'!H$2,99,FALSE)</f>
        <v/>
      </c>
      <c r="K53">
        <f>_xlfn.HYPGEOM.DIST($A9,$C$5,'Benchmarks by Card Role'!I$2,99,FALSE)</f>
        <v/>
      </c>
      <c r="L53">
        <f>_xlfn.HYPGEOM.DIST($A9,$C$5,'Benchmarks by Card Role'!J$2,99,FALSE)</f>
        <v/>
      </c>
      <c r="M53">
        <f>_xlfn.HYPGEOM.DIST($A9,$C$5,'Benchmarks by Card Role'!K$2,99,FALSE)</f>
        <v/>
      </c>
      <c r="N53">
        <f>_xlfn.HYPGEOM.DIST($A9,$C$5,'Benchmarks by Card Role'!L$2,99,FALSE)</f>
        <v/>
      </c>
      <c r="P53">
        <f>_xlfn.HYPGEOM.DIST($A9,$C$5,'Benchmarks by Card Role'!D$12,99,FALSE)</f>
        <v/>
      </c>
      <c r="Q53">
        <f>_xlfn.HYPGEOM.DIST($A9,$C$5,'Benchmarks by Card Role'!E$12,99,FALSE)</f>
        <v/>
      </c>
      <c r="R53">
        <f>_xlfn.HYPGEOM.DIST($A9,$C$5,'Benchmarks by Card Role'!F$12,99,FALSE)</f>
        <v/>
      </c>
      <c r="S53">
        <f>_xlfn.HYPGEOM.DIST($A9,$C$5,'Benchmarks by Card Role'!G$12,99,FALSE)</f>
        <v/>
      </c>
      <c r="T53">
        <f>_xlfn.HYPGEOM.DIST($A9,$C$5,'Benchmarks by Card Role'!H$12,99,FALSE)</f>
        <v/>
      </c>
      <c r="U53">
        <f>_xlfn.HYPGEOM.DIST($A9,$C$5,'Benchmarks by Card Role'!I$12,99,FALSE)</f>
        <v/>
      </c>
      <c r="V53">
        <f>_xlfn.HYPGEOM.DIST($A9,$C$5,'Benchmarks by Card Role'!J$12,99,FALSE)</f>
        <v/>
      </c>
      <c r="W53">
        <f>_xlfn.HYPGEOM.DIST($A9,$C$5,'Benchmarks by Card Role'!K$12,99,FALSE)</f>
        <v/>
      </c>
      <c r="X53">
        <f>_xlfn.HYPGEOM.DIST($A9,$C$5,'Benchmarks by Card Role'!L$12,99,FALSE)</f>
        <v/>
      </c>
      <c r="Z53">
        <f>_xlfn.HYPGEOM.DIST($A9,$C$5,'Benchmarks by Card Role'!D$22,99,FALSE)</f>
        <v/>
      </c>
      <c r="AA53">
        <f>_xlfn.HYPGEOM.DIST($A9,$C$5,'Benchmarks by Card Role'!E$22,99,FALSE)</f>
        <v/>
      </c>
      <c r="AB53">
        <f>_xlfn.HYPGEOM.DIST($A9,$C$5,'Benchmarks by Card Role'!F$22,99,FALSE)</f>
        <v/>
      </c>
      <c r="AC53">
        <f>_xlfn.HYPGEOM.DIST($A9,$C$5,'Benchmarks by Card Role'!G$22,99,FALSE)</f>
        <v/>
      </c>
      <c r="AD53">
        <f>_xlfn.HYPGEOM.DIST($A9,$C$5,'Benchmarks by Card Role'!H$22,99,FALSE)</f>
        <v/>
      </c>
      <c r="AE53">
        <f>_xlfn.HYPGEOM.DIST($A9,$C$5,'Benchmarks by Card Role'!I$22,99,FALSE)</f>
        <v/>
      </c>
      <c r="AF53">
        <f>_xlfn.HYPGEOM.DIST($A9,$C$5,'Benchmarks by Card Role'!J$22,99,FALSE)</f>
        <v/>
      </c>
      <c r="AG53">
        <f>_xlfn.HYPGEOM.DIST($A9,$C$5,'Benchmarks by Card Role'!K$22,99,FALSE)</f>
        <v/>
      </c>
      <c r="AH53">
        <f>_xlfn.HYPGEOM.DIST($A9,$C$5,'Benchmarks by Card Role'!L$22,99,FALSE)</f>
        <v/>
      </c>
      <c r="AJ53">
        <f>_xlfn.HYPGEOM.DIST($A9,$C$5,'Benchmarks by Card Role'!D$32,99,FALSE)</f>
        <v/>
      </c>
      <c r="AK53">
        <f>_xlfn.HYPGEOM.DIST($A9,$C$5,'Benchmarks by Card Role'!E$32,99,FALSE)</f>
        <v/>
      </c>
      <c r="AL53">
        <f>_xlfn.HYPGEOM.DIST($A9,$C$5,'Benchmarks by Card Role'!F$32,99,FALSE)</f>
        <v/>
      </c>
      <c r="AM53">
        <f>_xlfn.HYPGEOM.DIST($A9,$C$5,'Benchmarks by Card Role'!G$32,99,FALSE)</f>
        <v/>
      </c>
      <c r="AN53">
        <f>_xlfn.HYPGEOM.DIST($A9,$C$5,'Benchmarks by Card Role'!H$32,99,FALSE)</f>
        <v/>
      </c>
      <c r="AO53">
        <f>_xlfn.HYPGEOM.DIST($A9,$C$5,'Benchmarks by Card Role'!I$32,99,FALSE)</f>
        <v/>
      </c>
      <c r="AP53">
        <f>_xlfn.HYPGEOM.DIST($A9,$C$5,'Benchmarks by Card Role'!J$32,99,FALSE)</f>
        <v/>
      </c>
      <c r="AQ53">
        <f>_xlfn.HYPGEOM.DIST($A9,$C$5,'Benchmarks by Card Role'!K$32,99,FALSE)</f>
        <v/>
      </c>
      <c r="AR53">
        <f>_xlfn.HYPGEOM.DIST($A9,$C$5,'Benchmarks by Card Role'!L$32,99,FALSE)</f>
        <v/>
      </c>
      <c r="AT53">
        <f>_xlfn.HYPGEOM.DIST($A9,$C$5,'Benchmarks by Card Role'!D$42,99,FALSE)</f>
        <v/>
      </c>
      <c r="AU53">
        <f>_xlfn.HYPGEOM.DIST($A9,$C$5,'Benchmarks by Card Role'!E$42,99,FALSE)</f>
        <v/>
      </c>
      <c r="AV53">
        <f>_xlfn.HYPGEOM.DIST($A9,$C$5,'Benchmarks by Card Role'!F$42,99,FALSE)</f>
        <v/>
      </c>
      <c r="AW53">
        <f>_xlfn.HYPGEOM.DIST($A9,$C$5,'Benchmarks by Card Role'!G$42,99,FALSE)</f>
        <v/>
      </c>
      <c r="AX53">
        <f>_xlfn.HYPGEOM.DIST($A9,$C$5,'Benchmarks by Card Role'!H$42,99,FALSE)</f>
        <v/>
      </c>
      <c r="AY53">
        <f>_xlfn.HYPGEOM.DIST($A9,$C$5,'Benchmarks by Card Role'!I$42,99,FALSE)</f>
        <v/>
      </c>
      <c r="AZ53">
        <f>_xlfn.HYPGEOM.DIST($A9,$C$5,'Benchmarks by Card Role'!J$42,99,FALSE)</f>
        <v/>
      </c>
      <c r="BA53">
        <f>_xlfn.HYPGEOM.DIST($A9,$C$5,'Benchmarks by Card Role'!K$42,99,FALSE)</f>
        <v/>
      </c>
      <c r="BB53">
        <f>_xlfn.HYPGEOM.DIST($A9,$C$5,'Benchmarks by Card Role'!L$42,99,FALSE)</f>
        <v/>
      </c>
    </row>
    <row r="54">
      <c r="F54">
        <f>SUM(F45*$A$1,F46*$A$2,F47*$A$3,F48*$A$4,F49*$A$5,F50*$A$6,F51*$A$7,F52*$A$8,F53*$A$9)</f>
        <v/>
      </c>
      <c r="G54">
        <f>SUM(G45*$A$1,G46*$A$2,G47*$A$3,G48*$A$4,G49*$A$5,G50*$A$6,G51*$A$7,G52*$A$8,G53*$A$9)</f>
        <v/>
      </c>
      <c r="H54">
        <f>SUM(H45*$A$1,H46*$A$2,H47*$A$3,H48*$A$4,H49*$A$5,H50*$A$6,H51*$A$7,H52*$A$8,H53*$A$9)</f>
        <v/>
      </c>
      <c r="I54">
        <f>SUM(I45*$A$1,I46*$A$2,I47*$A$3,I48*$A$4,I49*$A$5,I50*$A$6,I51*$A$7,I52*$A$8,I53*$A$9)</f>
        <v/>
      </c>
      <c r="J54">
        <f>SUM(J45*$A$1,J46*$A$2,J47*$A$3,J48*$A$4,J49*$A$5,J50*$A$6,J51*$A$7,J52*$A$8,J53*$A$9)</f>
        <v/>
      </c>
      <c r="K54">
        <f>SUM(K45*$A$1,K46*$A$2,K47*$A$3,K48*$A$4,K49*$A$5,K50*$A$6,K51*$A$7,K52*$A$8,K53*$A$9)</f>
        <v/>
      </c>
      <c r="L54">
        <f>SUM(L45*$A$1,L46*$A$2,L47*$A$3,L48*$A$4,L49*$A$5,L50*$A$6,L51*$A$7,L52*$A$8,L53*$A$9)</f>
        <v/>
      </c>
      <c r="M54">
        <f>SUM(M45*$A$1,M46*$A$2,M47*$A$3,M48*$A$4,M49*$A$5,M50*$A$6,M51*$A$7,M52*$A$8,M53*$A$9)</f>
        <v/>
      </c>
      <c r="N54">
        <f>SUM(N45*$A$1,N46*$A$2,N47*$A$3,N48*$A$4,N49*$A$5,N50*$A$6,N51*$A$7,N52*$A$8,N53*$A$9)</f>
        <v/>
      </c>
      <c r="P54">
        <f>SUM(P45*$A$1,P46*$A$2,P47*$A$3,P48*$A$4,P49*$A$5,P50*$A$6,P51*$A$7,P52*$A$8,P53*$A$9)</f>
        <v/>
      </c>
      <c r="Q54">
        <f>SUM(Q45*$A$1,Q46*$A$2,Q47*$A$3,Q48*$A$4,Q49*$A$5,Q50*$A$6,Q51*$A$7,Q52*$A$8,Q53*$A$9)</f>
        <v/>
      </c>
      <c r="R54">
        <f>SUM(R45*$A$1,R46*$A$2,R47*$A$3,R48*$A$4,R49*$A$5,R50*$A$6,R51*$A$7,R52*$A$8,R53*$A$9)</f>
        <v/>
      </c>
      <c r="S54">
        <f>SUM(S45*$A$1,S46*$A$2,S47*$A$3,S48*$A$4,S49*$A$5,S50*$A$6,S51*$A$7,S52*$A$8,S53*$A$9)</f>
        <v/>
      </c>
      <c r="T54">
        <f>SUM(T45*$A$1,T46*$A$2,T47*$A$3,T48*$A$4,T49*$A$5,T50*$A$6,T51*$A$7,T52*$A$8,T53*$A$9)</f>
        <v/>
      </c>
      <c r="U54">
        <f>SUM(U45*$A$1,U46*$A$2,U47*$A$3,U48*$A$4,U49*$A$5,U50*$A$6,U51*$A$7,U52*$A$8,U53*$A$9)</f>
        <v/>
      </c>
      <c r="V54">
        <f>SUM(V45*$A$1,V46*$A$2,V47*$A$3,V48*$A$4,V49*$A$5,V50*$A$6,V51*$A$7,V52*$A$8,V53*$A$9)</f>
        <v/>
      </c>
      <c r="W54">
        <f>SUM(W45*$A$1,W46*$A$2,W47*$A$3,W48*$A$4,W49*$A$5,W50*$A$6,W51*$A$7,W52*$A$8,W53*$A$9)</f>
        <v/>
      </c>
      <c r="X54">
        <f>SUM(X45*$A$1,X46*$A$2,X47*$A$3,X48*$A$4,X49*$A$5,X50*$A$6,X51*$A$7,X52*$A$8,X53*$A$9)</f>
        <v/>
      </c>
      <c r="Z54">
        <f>SUM(Z45*$A$1,Z46*$A$2,Z47*$A$3,Z48*$A$4,Z49*$A$5,Z50*$A$6,Z51*$A$7,Z52*$A$8,Z53*$A$9)</f>
        <v/>
      </c>
      <c r="AA54">
        <f>SUM(AA45*$A$1,AA46*$A$2,AA47*$A$3,AA48*$A$4,AA49*$A$5,AA50*$A$6,AA51*$A$7,AA52*$A$8,AA53*$A$9)</f>
        <v/>
      </c>
      <c r="AB54">
        <f>SUM(AB45*$A$1,AB46*$A$2,AB47*$A$3,AB48*$A$4,AB49*$A$5,AB50*$A$6,AB51*$A$7,AB52*$A$8,AB53*$A$9)</f>
        <v/>
      </c>
      <c r="AC54">
        <f>SUM(AC45*$A$1,AC46*$A$2,AC47*$A$3,AC48*$A$4,AC49*$A$5,AC50*$A$6,AC51*$A$7,AC52*$A$8,AC53*$A$9)</f>
        <v/>
      </c>
      <c r="AD54">
        <f>SUM(AD45*$A$1,AD46*$A$2,AD47*$A$3,AD48*$A$4,AD49*$A$5,AD50*$A$6,AD51*$A$7,AD52*$A$8,AD53*$A$9)</f>
        <v/>
      </c>
      <c r="AE54">
        <f>SUM(AE45*$A$1,AE46*$A$2,AE47*$A$3,AE48*$A$4,AE49*$A$5,AE50*$A$6,AE51*$A$7,AE52*$A$8,AE53*$A$9)</f>
        <v/>
      </c>
      <c r="AF54">
        <f>SUM(AF45*$A$1,AF46*$A$2,AF47*$A$3,AF48*$A$4,AF49*$A$5,AF50*$A$6,AF51*$A$7,AF52*$A$8,AF53*$A$9)</f>
        <v/>
      </c>
      <c r="AG54">
        <f>SUM(AG45*$A$1,AG46*$A$2,AG47*$A$3,AG48*$A$4,AG49*$A$5,AG50*$A$6,AG51*$A$7,AG52*$A$8,AG53*$A$9)</f>
        <v/>
      </c>
      <c r="AH54">
        <f>SUM(AH45*$A$1,AH46*$A$2,AH47*$A$3,AH48*$A$4,AH49*$A$5,AH50*$A$6,AH51*$A$7,AH52*$A$8,AH53*$A$9)</f>
        <v/>
      </c>
      <c r="AJ54">
        <f>SUM(AJ45*$A$1,AJ46*$A$2,AJ47*$A$3,AJ48*$A$4,AJ49*$A$5,AJ50*$A$6,AJ51*$A$7,AJ52*$A$8,AJ53*$A$9)</f>
        <v/>
      </c>
      <c r="AK54">
        <f>SUM(AK45*$A$1,AK46*$A$2,AK47*$A$3,AK48*$A$4,AK49*$A$5,AK50*$A$6,AK51*$A$7,AK52*$A$8,AK53*$A$9)</f>
        <v/>
      </c>
      <c r="AL54">
        <f>SUM(AL45*$A$1,AL46*$A$2,AL47*$A$3,AL48*$A$4,AL49*$A$5,AL50*$A$6,AL51*$A$7,AL52*$A$8,AL53*$A$9)</f>
        <v/>
      </c>
      <c r="AM54">
        <f>SUM(AM45*$A$1,AM46*$A$2,AM47*$A$3,AM48*$A$4,AM49*$A$5,AM50*$A$6,AM51*$A$7,AM52*$A$8,AM53*$A$9)</f>
        <v/>
      </c>
      <c r="AN54">
        <f>SUM(AN45*$A$1,AN46*$A$2,AN47*$A$3,AN48*$A$4,AN49*$A$5,AN50*$A$6,AN51*$A$7,AN52*$A$8,AN53*$A$9)</f>
        <v/>
      </c>
      <c r="AO54">
        <f>SUM(AO45*$A$1,AO46*$A$2,AO47*$A$3,AO48*$A$4,AO49*$A$5,AO50*$A$6,AO51*$A$7,AO52*$A$8,AO53*$A$9)</f>
        <v/>
      </c>
      <c r="AP54">
        <f>SUM(AP45*$A$1,AP46*$A$2,AP47*$A$3,AP48*$A$4,AP49*$A$5,AP50*$A$6,AP51*$A$7,AP52*$A$8,AP53*$A$9)</f>
        <v/>
      </c>
      <c r="AQ54">
        <f>SUM(AQ45*$A$1,AQ46*$A$2,AQ47*$A$3,AQ48*$A$4,AQ49*$A$5,AQ50*$A$6,AQ51*$A$7,AQ52*$A$8,AQ53*$A$9)</f>
        <v/>
      </c>
      <c r="AR54">
        <f>SUM(AR45*$A$1,AR46*$A$2,AR47*$A$3,AR48*$A$4,AR49*$A$5,AR50*$A$6,AR51*$A$7,AR52*$A$8,AR53*$A$9)</f>
        <v/>
      </c>
      <c r="AT54">
        <f>SUM(AT45*$A$1,AT46*$A$2,AT47*$A$3,AT48*$A$4,AT49*$A$5,AT50*$A$6,AT51*$A$7,AT52*$A$8,AT53*$A$9)</f>
        <v/>
      </c>
      <c r="AU54">
        <f>SUM(AU45*$A$1,AU46*$A$2,AU47*$A$3,AU48*$A$4,AU49*$A$5,AU50*$A$6,AU51*$A$7,AU52*$A$8,AU53*$A$9)</f>
        <v/>
      </c>
      <c r="AV54">
        <f>SUM(AV45*$A$1,AV46*$A$2,AV47*$A$3,AV48*$A$4,AV49*$A$5,AV50*$A$6,AV51*$A$7,AV52*$A$8,AV53*$A$9)</f>
        <v/>
      </c>
      <c r="AW54">
        <f>SUM(AW45*$A$1,AW46*$A$2,AW47*$A$3,AW48*$A$4,AW49*$A$5,AW50*$A$6,AW51*$A$7,AW52*$A$8,AW53*$A$9)</f>
        <v/>
      </c>
      <c r="AX54">
        <f>SUM(AX45*$A$1,AX46*$A$2,AX47*$A$3,AX48*$A$4,AX49*$A$5,AX50*$A$6,AX51*$A$7,AX52*$A$8,AX53*$A$9)</f>
        <v/>
      </c>
      <c r="AY54">
        <f>SUM(AY45*$A$1,AY46*$A$2,AY47*$A$3,AY48*$A$4,AY49*$A$5,AY50*$A$6,AY51*$A$7,AY52*$A$8,AY53*$A$9)</f>
        <v/>
      </c>
      <c r="AZ54">
        <f>SUM(AZ45*$A$1,AZ46*$A$2,AZ47*$A$3,AZ48*$A$4,AZ49*$A$5,AZ50*$A$6,AZ51*$A$7,AZ52*$A$8,AZ53*$A$9)</f>
        <v/>
      </c>
      <c r="BA54">
        <f>SUM(BA45*$A$1,BA46*$A$2,BA47*$A$3,BA48*$A$4,BA49*$A$5,BA50*$A$6,BA51*$A$7,BA52*$A$8,BA53*$A$9)</f>
        <v/>
      </c>
      <c r="BB54">
        <f>SUM(BB45*$A$1,BB46*$A$2,BB47*$A$3,BB48*$A$4,BB49*$A$5,BB50*$A$6,BB51*$A$7,BB52*$A$8,BB53*$A$9)</f>
        <v/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Sebastian</dc:creator>
  <dcterms:created xsi:type="dcterms:W3CDTF">2015-06-05T18:19:34Z</dcterms:created>
  <dcterms:modified xsi:type="dcterms:W3CDTF">2026-10-05T12:55:43Z</dcterms:modified>
  <cp:lastModifiedBy>Sebastian</cp:lastModifiedBy>
</cp:coreProperties>
</file>