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xr:revisionPtr revIDLastSave="0" documentId="13_ncr:1_{DBA81500-C1BD-4E7A-9236-F3EF25A2BDCB}" xr6:coauthVersionLast="47" xr6:coauthVersionMax="47" xr10:uidLastSave="{00000000-0000-0000-0000-000000000000}"/>
  <bookViews>
    <workbookView xWindow="-120" yWindow="-120" windowWidth="29040" windowHeight="15840" activeTab="0" xr2:uid="{00000000-000D-0000-FFFF-FFFF00000000}"/>
  </bookViews>
  <sheets>
    <sheet name="Info" sheetId="4" r:id="rId3"/>
    <sheet name="Hypergeometric Calculator" sheetId="1" r:id="rId1"/>
    <sheet name="Benchmarks by Card Role" sheetId="3" r:id="rId2"/>
    <sheet name="Land Types" sheetId="5" r:id="rId4"/>
    <sheet name="Mana Curve" sheetId="7" r:id="rId5"/>
    <sheet name="Deck 1 - Superfriends" sheetId="6" r:id="rId6"/>
    <sheet name="Data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<sst xmlns="http://schemas.openxmlformats.org/spreadsheetml/2006/main" count="206" uniqueCount="133">
  <si>
    <t>Cards in deck</t>
  </si>
  <si>
    <t>Cards drawn</t>
  </si>
  <si>
    <t>Hits in deck</t>
  </si>
  <si>
    <t>Parameter</t>
  </si>
  <si>
    <t>Description</t>
  </si>
  <si>
    <t>99 normally</t>
  </si>
  <si>
    <t>Depends on the turn</t>
  </si>
  <si>
    <t>Value</t>
  </si>
  <si>
    <t>Exactly 0</t>
  </si>
  <si>
    <t>Exactly 1</t>
  </si>
  <si>
    <t>Exactly 2</t>
  </si>
  <si>
    <t>Exactly 3</t>
  </si>
  <si>
    <t>Exactly 4</t>
  </si>
  <si>
    <t>Exactly 5</t>
  </si>
  <si>
    <t>Results (percent)</t>
  </si>
  <si>
    <t>At least 1</t>
  </si>
  <si>
    <t>At least 2</t>
  </si>
  <si>
    <t>At least 3</t>
  </si>
  <si>
    <t>At least 4</t>
  </si>
  <si>
    <t>At least 5</t>
  </si>
  <si>
    <t>At most 1</t>
  </si>
  <si>
    <t>At most 2</t>
  </si>
  <si>
    <t>At most 3</t>
  </si>
  <si>
    <t>At most 4</t>
  </si>
  <si>
    <t>At most 5</t>
  </si>
  <si>
    <t>Land</t>
  </si>
  <si>
    <t>Lands</t>
  </si>
  <si>
    <t>Deck types</t>
  </si>
  <si>
    <t>Aggro</t>
  </si>
  <si>
    <t>Landfall</t>
  </si>
  <si>
    <t>Turn</t>
  </si>
  <si>
    <t>Average number drawn</t>
  </si>
  <si>
    <t>Fast Mana</t>
  </si>
  <si>
    <t>Low curve</t>
  </si>
  <si>
    <t>High curve</t>
  </si>
  <si>
    <t>At least 1 by turn X</t>
  </si>
  <si>
    <t>Card draw</t>
  </si>
  <si>
    <t>Commander with draw</t>
  </si>
  <si>
    <t>Control</t>
  </si>
  <si>
    <t>Combo</t>
  </si>
  <si>
    <t>Single target removal</t>
  </si>
  <si>
    <t>Notes</t>
  </si>
  <si>
    <t>Commander with removal</t>
  </si>
  <si>
    <t>Weak to one card type</t>
  </si>
  <si>
    <t>Board wipes</t>
  </si>
  <si>
    <t>Creature deck</t>
  </si>
  <si>
    <t>Ramp</t>
  </si>
  <si>
    <t xml:space="preserve">More untapped lands = better
MDFC lands replace lands 1:1 (max. 5 or 6 because they are slow)</t>
  </si>
  <si>
    <t xml:space="preserve">Burst draw (Treasure Cruise)
Card advantage (Phyrexian Arena)</t>
  </si>
  <si>
    <t xml:space="preserve">1:1 (Path to Exile)
2:1 or 3:1 (Soul Shatter)
Counterspells (also 1:1)</t>
  </si>
  <si>
    <t xml:space="preserve">Bane of Progress is a board wipe too
e.g. no artifacts in your deck = artifact wipe</t>
  </si>
  <si>
    <t xml:space="preserve">PERMANENT source of mana
Dark Ritual, Jeweled Lotus are not ramp
Extra land drops (Exploration, Burgeoning)
Mana rocks (Sol Ring)
Mana dorks (Birds of Paradise)</t>
  </si>
  <si>
    <t>Win cons</t>
  </si>
  <si>
    <t xml:space="preserve"> ±3 win cons</t>
  </si>
  <si>
    <t xml:space="preserve">Win con: card A + card B = win
Infinites (Sanguine Bond + Exquisite Blood)
Doubling Season + planeswalker ultimate
Omniscience + Enter the Infinite
Single-card win cons like Expropriate
A CLEAR way to win. Combat damage is NOT a win con, except things like a 50/50 trampler or 100 1/1 tokens
Not too many win cons, otherwise too many combo pieces that do nothing alone clog your hand
Card advantage is ONLY a win con if it can stop opposing win cons</t>
  </si>
  <si>
    <t>Basic type?</t>
  </si>
  <si>
    <t>Tapped?</t>
  </si>
  <si>
    <t>Note</t>
  </si>
  <si>
    <t>Price</t>
  </si>
  <si>
    <t>Land type</t>
  </si>
  <si>
    <t>Pain</t>
  </si>
  <si>
    <t>Low</t>
  </si>
  <si>
    <t>No</t>
  </si>
  <si>
    <t>Good budget option, self damage</t>
  </si>
  <si>
    <t>Shock</t>
  </si>
  <si>
    <t>High</t>
  </si>
  <si>
    <t>Yes</t>
  </si>
  <si>
    <t>Fetch</t>
  </si>
  <si>
    <t>Very high</t>
  </si>
  <si>
    <t>Best lands, very expensive</t>
  </si>
  <si>
    <t>Filter</t>
  </si>
  <si>
    <t>Very low - low</t>
  </si>
  <si>
    <t xml:space="preserve">Two kinds: 
- any mana to two colors (e.g. Skycloud Expanse)
- colored to two colors (e.g. Fetid Heath)
Good budget option, a bit clunky</t>
  </si>
  <si>
    <t>Scry (Temples)</t>
  </si>
  <si>
    <t>Very low</t>
  </si>
  <si>
    <t>Best slow lands</t>
  </si>
  <si>
    <t>Battle</t>
  </si>
  <si>
    <t>Maybe</t>
  </si>
  <si>
    <t>Basic types (Skyshroud Claim)</t>
  </si>
  <si>
    <t>Better pain lands, expensive, basic types, best lands</t>
  </si>
  <si>
    <t>Check</t>
  </si>
  <si>
    <t>Medium</t>
  </si>
  <si>
    <t>Very good in 2 or 3 colors</t>
  </si>
  <si>
    <t>Bicycle</t>
  </si>
  <si>
    <t xml:space="preserve">Two colors, cycling for 2 colorless
Slow, but easy to cycle in the late game</t>
  </si>
  <si>
    <t>Bond</t>
  </si>
  <si>
    <t>Medium - high</t>
  </si>
  <si>
    <t>Checks for two opponents. In Commander almost as good as a shock land, great</t>
  </si>
  <si>
    <t>Pathway</t>
  </si>
  <si>
    <t>Low - high</t>
  </si>
  <si>
    <t>Very good especially in fewer colors</t>
  </si>
  <si>
    <t>Slow</t>
  </si>
  <si>
    <t>Maybe</t>
  </si>
  <si>
    <t>Tricycle</t>
  </si>
  <si>
    <t>Medium - very high</t>
  </si>
  <si>
    <t>Basic types, cycling 3, enters tapped but very good in 4 to 5 colors</t>
  </si>
  <si>
    <t>Untapped from your third land on. Great for colors you only need later</t>
  </si>
  <si>
    <t>Card role</t>
  </si>
  <si>
    <t>Count</t>
  </si>
  <si>
    <t>Reason</t>
  </si>
  <si>
    <t>Fairly standard</t>
  </si>
  <si>
    <t>31 lands + 3 MDFCs</t>
  </si>
  <si>
    <t>Draw</t>
  </si>
  <si>
    <t>Could be fewer, Prismatic Bridge "draws" cards</t>
  </si>
  <si>
    <t>Find the win con; planeswalkers are gone without a board wipe</t>
  </si>
  <si>
    <t>Trample and flying are a problem, mostly creature removal</t>
  </si>
  <si>
    <t>Planeswalkers survive wipes, so they are one-sided wipes</t>
  </si>
  <si>
    <t>Maybe 1 or 2 more</t>
  </si>
  <si>
    <t>Mostly color fixing, almost only enchantments, hardly any artifacts or creatures</t>
  </si>
  <si>
    <t>Doubling Season + Dreadhorde General</t>
  </si>
  <si>
    <t>Doubling Season + Nicol Bolas, God-Pharaoh</t>
  </si>
  <si>
    <t>Doubling Season + Nicol Bolas, Dragon-God</t>
  </si>
  <si>
    <t>Doubling Season + Chandra, Torch of Defiance</t>
  </si>
  <si>
    <t>Jokulhaups + Prismatic Bridge</t>
  </si>
  <si>
    <t>Obliterate + Prismatic Bridge</t>
  </si>
  <si>
    <t>Rest</t>
  </si>
  <si>
    <t>Supports the game plan, prevents attacks or speeds up ultimates</t>
  </si>
  <si>
    <t>Evolution Sage, Sublime Artificier, Dueling Grounds
Pramikon, Sphere of Safety, Blind Obedience</t>
  </si>
  <si>
    <t>How many cards in the deck are the right ones</t>
  </si>
  <si>
    <t xml:space="preserve">More win cons because every piece also works on its own
Commander + ONE more card is a very good win con</t>
  </si>
  <si>
    <t xml:space="preserve">Analysis of cEDH decks: </t>
  </si>
  <si>
    <t>Mana value</t>
  </si>
  <si>
    <t>7+</t>
  </si>
  <si>
    <t>Number of cards</t>
  </si>
  <si>
    <t>Notes:</t>
  </si>
  <si>
    <t>Mostly ramp or one-mana removal</t>
  </si>
  <si>
    <t>Ramp, creatures, key spells</t>
  </si>
  <si>
    <t>From here, casting two spells a turn gets hard</t>
  </si>
  <si>
    <t xml:space="preserve">Strong effects, two spells a turn very unlikely
These cards must be WORTH a whole turn</t>
  </si>
  <si>
    <t xml:space="preserve">See mana value 4. Fewer expensive cards mean fewer
mulligans + cards you cannot cast do nothing</t>
  </si>
  <si>
    <t xml:space="preserve">See above. Hands with too many expensive cards are a big drawback
from here and mana value 5 on: win con territory. A strong effect that wins</t>
  </si>
  <si>
    <t>Expropriate etc. win cons, ETBs that turn the game around</t>
  </si>
  <si>
    <t xml:space="preserve">Lower the mana curve where possible: more cards played = more effects = higher win rate, e.g. Nature's Claim vs. Krosan Grip
Cards like Dig Through Time rarely cost their printed mana value = count them in a lower slot
Decks with big effects are more expensive than those without. Only a guide, not a rule. Make sure the deck does not get too top-heavy
Casual groups: MUCH more casual than cEDH, the mana curve does not need to be hyper-optimized. More flavor, less 5-color goodstuff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</si>
</sst>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B16" sqref="B16"/>
    </sheetView>
  </sheetViews>
  <sheetFormatPr baseColWidth="10" defaultColWidth="9.140625" defaultRowHeight="15" x14ac:dyDescent="0.25"/>
  <cols>
    <col min="1" max="1" width="16.28515625" style="1" bestFit="1" customWidth="1"/>
    <col min="2" max="2" width="40" style="1" bestFit="1" customWidth="1"/>
    <col min="3" max="3" width="5.42578125" style="1" bestFit="1" customWidth="1"/>
    <col min="4" max="4" width="1.85546875" style="1" customWidth="1"/>
    <col min="5" max="5" width="8.140625" style="1" bestFit="1" customWidth="1"/>
    <col min="6" max="6" width="5.5703125" style="1" bestFit="1" customWidth="1"/>
    <col min="7" max="7" width="2" style="1" customWidth="1"/>
    <col min="8" max="8" width="12.85546875" style="1" bestFit="1" customWidth="1"/>
    <col min="9" max="9" width="5.5703125" style="1" bestFit="1" customWidth="1"/>
    <col min="10" max="10" width="1.85546875" style="1" customWidth="1"/>
    <col min="11" max="11" width="11.5703125" style="1" bestFit="1" customWidth="1"/>
    <col min="12" max="12" width="5.5703125" style="1" bestFit="1" customWidth="1"/>
    <col min="13" max="16384" width="9.140625" style="1"/>
  </cols>
  <sheetData>
    <row r="1" spans="1:12" x14ac:dyDescent="0.25">
      <c r="A1" s="1" t="s">
        <v>3</v>
      </c>
      <c r="B1" s="1" t="s">
        <v>4</v>
      </c>
      <c r="C1" s="1" t="s">
        <v>7</v>
      </c>
      <c r="E1" s="6" t="s">
        <v>14</v>
      </c>
      <c r="F1" s="6"/>
      <c r="G1" s="6"/>
      <c r="H1" s="6"/>
      <c r="I1" s="6"/>
      <c r="J1" s="6"/>
      <c r="K1" s="6"/>
      <c r="L1" s="6"/>
    </row>
    <row r="2" spans="1:12" x14ac:dyDescent="0.25">
      <c r="A2" s="1" t="s">
        <v>0</v>
      </c>
      <c r="B2" s="1" t="s">
        <v>5</v>
      </c>
      <c r="C2" s="2">
        <v>99</v>
      </c>
      <c r="E2" s="1" t="s">
        <v>8</v>
      </c>
      <c r="F2" s="3">
        <f>Data!B1*100</f>
        <v>22.728232252811061</v>
      </c>
      <c r="I2" s="3"/>
    </row>
    <row r="3" spans="1:12" x14ac:dyDescent="0.25">
      <c r="A3" s="1" t="s">
        <v>1</v>
      </c>
      <c r="B3" s="1" t="s">
        <v>6</v>
      </c>
      <c r="C3" s="2">
        <v>10</v>
      </c>
      <c r="E3" s="1" t="s">
        <v>9</v>
      </c>
      <c r="F3" s="3">
        <f>Data!B2*100</f>
        <v>38.372340167083607</v>
      </c>
      <c r="H3" s="1" t="s">
        <v>15</v>
      </c>
      <c r="I3" s="3">
        <f>SUM(F3:F7)</f>
        <v>77.247219745313544</v>
      </c>
      <c r="K3" s="1" t="s">
        <v>20</v>
      </c>
      <c r="L3" s="3">
        <f>100-I3</f>
        <v>22.752780254686456</v>
      </c>
    </row>
    <row r="4" spans="1:12" x14ac:dyDescent="0.25">
      <c r="A4" s="1" t="s">
        <v>2</v>
      </c>
      <c r="B4" s="1" t="s">
        <v>118</v>
      </c>
      <c r="C4" s="2">
        <v>13</v>
      </c>
      <c r="E4" s="1" t="s">
        <v>10</v>
      </c>
      <c r="F4" s="3">
        <f>Data!B3*100</f>
        <v>26.565466269519415</v>
      </c>
      <c r="H4" s="1" t="s">
        <v>16</v>
      </c>
      <c r="I4" s="3">
        <f>SUM(F4:F7)</f>
        <v>38.87487957822993</v>
      </c>
      <c r="K4" s="1" t="s">
        <v>21</v>
      </c>
      <c r="L4" s="3">
        <f>100-I4</f>
        <v>61.12512042177007</v>
      </c>
    </row>
    <row r="5" spans="1:12" x14ac:dyDescent="0.25">
      <c r="E5" s="1" t="s">
        <v>11</v>
      </c>
      <c r="F5" s="3">
        <f>Data!B4*100</f>
        <v>9.8639705979650163</v>
      </c>
      <c r="H5" s="1" t="s">
        <v>17</v>
      </c>
      <c r="I5" s="3">
        <f>SUM(F5:F7)</f>
        <v>12.309413308710512</v>
      </c>
      <c r="K5" s="1" t="s">
        <v>22</v>
      </c>
      <c r="L5" s="3">
        <f>100-I5</f>
        <v>87.690586691289482</v>
      </c>
    </row>
    <row r="6" spans="1:12" x14ac:dyDescent="0.25">
      <c r="E6" s="1" t="s">
        <v>12</v>
      </c>
      <c r="F6" s="3">
        <f>Data!B5*100</f>
        <v>2.1577435683048494</v>
      </c>
      <c r="H6" s="1" t="s">
        <v>18</v>
      </c>
      <c r="I6" s="3">
        <f>SUM(F6:F7)</f>
        <v>2.4454427107454957</v>
      </c>
      <c r="K6" s="1" t="s">
        <v>23</v>
      </c>
      <c r="L6" s="3">
        <f>100-I6</f>
        <v>97.554557289254504</v>
      </c>
    </row>
    <row r="7" spans="1:12" x14ac:dyDescent="0.25">
      <c r="E7" s="1" t="s">
        <v>13</v>
      </c>
      <c r="F7" s="3">
        <f>Data!B6*100</f>
        <v>0.28769914244064648</v>
      </c>
      <c r="H7" s="1" t="s">
        <v>19</v>
      </c>
      <c r="I7" s="3">
        <f>SUM(F7:F7)</f>
        <v>0.28769914244064648</v>
      </c>
      <c r="K7" s="1" t="s">
        <v>24</v>
      </c>
      <c r="L7" s="3">
        <f>100-I7</f>
        <v>99.712300857559356</v>
      </c>
    </row>
  </sheetData>
  <mergeCells count="1">
    <mergeCell ref="E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5728-3F1B-4BC1-8260-EB6D271A81BA}">
  <dimension ref="A1:T62"/>
  <sheetViews>
    <sheetView workbookViewId="0">
      <selection activeCell="B1" sqref="B1"/>
    </sheetView>
  </sheetViews>
  <sheetFormatPr baseColWidth="10" defaultRowHeight="15" x14ac:dyDescent="0.25"/>
  <cols>
    <col min="1" max="1" width="5" style="1" bestFit="1" customWidth="1"/>
    <col min="2" max="2" width="14" style="1" bestFit="1" customWidth="1"/>
    <col min="3" max="3" width="23.7109375" style="1" bestFit="1" customWidth="1"/>
    <col min="4" max="12" width="4.5703125" style="1" bestFit="1" customWidth="1"/>
    <col min="13" max="13" width="30.7109375" style="1" bestFit="1" customWidth="1"/>
    <col min="14" max="14" width="14" style="1" bestFit="1" customWidth="1"/>
    <col min="15" max="15" width="5" style="1" bestFit="1" customWidth="1"/>
    <col min="16" max="16" width="16.42578125" style="1" customWidth="1"/>
    <col min="17" max="17" width="17.5703125" style="1" customWidth="1"/>
    <col min="18" max="18" width="21.7109375" style="1" customWidth="1"/>
    <col min="19" max="19" width="15.5703125" style="1" customWidth="1"/>
    <col min="20" max="16384" width="11.42578125" style="1"/>
  </cols>
  <sheetData>
    <row r="1" spans="1:18" x14ac:dyDescent="0.25">
      <c r="A1" s="1" t="s">
        <v>30</v>
      </c>
      <c r="C1" s="1" t="s">
        <v>27</v>
      </c>
      <c r="D1" s="7" t="s">
        <v>26</v>
      </c>
      <c r="E1" s="7"/>
      <c r="F1" s="7"/>
      <c r="G1" s="7"/>
      <c r="H1" s="7"/>
      <c r="I1" s="7"/>
      <c r="J1" s="7"/>
      <c r="K1" s="7"/>
      <c r="L1" s="7"/>
      <c r="M1" s="1" t="s">
        <v>27</v>
      </c>
      <c r="O1" s="1" t="s">
        <v>30</v>
      </c>
      <c r="P1" s="9" t="s">
        <v>41</v>
      </c>
      <c r="Q1" s="9"/>
      <c r="R1" s="9"/>
    </row>
    <row r="2" spans="1:18" x14ac:dyDescent="0.25">
      <c r="C2" s="1" t="s">
        <v>32</v>
      </c>
      <c r="D2" s="1">
        <v>29</v>
      </c>
      <c r="E2" s="1">
        <v>30</v>
      </c>
      <c r="F2" s="1">
        <v>31</v>
      </c>
      <c r="G2" s="1">
        <v>32</v>
      </c>
      <c r="H2" s="1">
        <v>33</v>
      </c>
      <c r="I2" s="1">
        <v>34</v>
      </c>
      <c r="J2" s="1">
        <v>35</v>
      </c>
      <c r="K2" s="1">
        <v>36</v>
      </c>
      <c r="L2" s="1">
        <v>37</v>
      </c>
      <c r="M2" s="1" t="s">
        <v>29</v>
      </c>
      <c r="P2" s="10" t="s">
        <v>47</v>
      </c>
      <c r="Q2" s="9"/>
      <c r="R2" s="9"/>
    </row>
    <row r="3" spans="1:18" x14ac:dyDescent="0.25">
      <c r="B3" s="1" t="s">
        <v>35</v>
      </c>
      <c r="C3" s="1" t="s">
        <v>33</v>
      </c>
      <c r="D3" s="8" t="s">
        <v>31</v>
      </c>
      <c r="E3" s="8"/>
      <c r="F3" s="8"/>
      <c r="G3" s="8"/>
      <c r="H3" s="8"/>
      <c r="I3" s="8"/>
      <c r="J3" s="8"/>
      <c r="K3" s="8"/>
      <c r="L3" s="8"/>
      <c r="M3" s="1" t="s">
        <v>34</v>
      </c>
      <c r="N3" s="1" t="s">
        <v>35</v>
      </c>
      <c r="P3" s="9"/>
      <c r="Q3" s="9"/>
      <c r="R3" s="9"/>
    </row>
    <row r="4" spans="1:18" x14ac:dyDescent="0.25">
      <c r="A4" s="1">
        <v>1</v>
      </c>
      <c r="B4" s="3">
        <f>SUM(Data!F2:F9)*100</f>
        <v>94.485804120359745</v>
      </c>
      <c r="D4" s="3">
        <f>Data!F10</f>
        <v>2.3434343434343452</v>
      </c>
      <c r="E4" s="3">
        <f>Data!G10</f>
        <v>2.4242424242424256</v>
      </c>
      <c r="F4" s="3">
        <f>Data!H10</f>
        <v>2.505050505050507</v>
      </c>
      <c r="G4" s="3">
        <f>Data!I10</f>
        <v>2.5858585858585861</v>
      </c>
      <c r="H4" s="3">
        <f>Data!J10</f>
        <v>2.6666666666666679</v>
      </c>
      <c r="I4" s="3">
        <f>Data!K10</f>
        <v>2.7474747474747492</v>
      </c>
      <c r="J4" s="3">
        <f>Data!L10</f>
        <v>2.8282828282828296</v>
      </c>
      <c r="K4" s="3">
        <f>Data!M10</f>
        <v>2.9090909090909101</v>
      </c>
      <c r="L4" s="3">
        <f>Data!N10</f>
        <v>2.9898989898989905</v>
      </c>
      <c r="N4" s="3">
        <f>SUM(Data!N2:N9)*100</f>
        <v>98.025069213688013</v>
      </c>
      <c r="O4" s="1">
        <v>1</v>
      </c>
      <c r="P4" s="9"/>
      <c r="Q4" s="9"/>
      <c r="R4" s="9"/>
    </row>
    <row r="5" spans="1:18" x14ac:dyDescent="0.25">
      <c r="A5" s="1">
        <v>2</v>
      </c>
      <c r="B5" s="3">
        <f>SUM(Data!F12:F20)*100</f>
        <v>99.999421442752109</v>
      </c>
      <c r="D5" s="3">
        <f>Data!F21</f>
        <v>2.6363115662113237</v>
      </c>
      <c r="E5" s="3">
        <f>Data!G21</f>
        <v>2.7271983413408507</v>
      </c>
      <c r="F5" s="3">
        <f>Data!H21</f>
        <v>2.8180770016414463</v>
      </c>
      <c r="G5" s="3">
        <f>Data!I21</f>
        <v>2.9089450773825649</v>
      </c>
      <c r="H5" s="3">
        <f>Data!J21</f>
        <v>2.9997994814010278</v>
      </c>
      <c r="I5" s="3">
        <f>Data!K21</f>
        <v>3.0906363856144892</v>
      </c>
      <c r="J5" s="3">
        <f>Data!L21</f>
        <v>3.1814510785369845</v>
      </c>
      <c r="K5" s="3">
        <f>Data!M21</f>
        <v>3.2722378016856761</v>
      </c>
      <c r="L5" s="3">
        <f>Data!N21</f>
        <v>3.3629895626171118</v>
      </c>
      <c r="N5" s="3">
        <v>100</v>
      </c>
      <c r="O5" s="1">
        <v>2</v>
      </c>
      <c r="P5" s="9"/>
      <c r="Q5" s="9"/>
      <c r="R5" s="9"/>
    </row>
    <row r="6" spans="1:18" x14ac:dyDescent="0.25">
      <c r="A6" s="1">
        <v>3</v>
      </c>
      <c r="B6" s="3">
        <f>B5</f>
        <v>99.999421442752109</v>
      </c>
      <c r="D6" s="3">
        <f>Data!F32</f>
        <v>2.9288750823916438</v>
      </c>
      <c r="E6" s="3">
        <f>Data!G32</f>
        <v>3.0297134529170417</v>
      </c>
      <c r="F6" s="3">
        <f>Data!H32</f>
        <v>3.1304927154292295</v>
      </c>
      <c r="G6" s="3">
        <f>Data!I32</f>
        <v>3.2311961872686208</v>
      </c>
      <c r="H6" s="3">
        <f>Data!J32</f>
        <v>3.3318034506893142</v>
      </c>
      <c r="I6" s="3">
        <f>Data!K32</f>
        <v>3.4322897278038274</v>
      </c>
      <c r="J6" s="3">
        <f>Data!L32</f>
        <v>3.5326251875105616</v>
      </c>
      <c r="K6" s="3">
        <f>Data!M32</f>
        <v>3.6327741820585957</v>
      </c>
      <c r="L6" s="3">
        <f>Data!N32</f>
        <v>3.7326944114813685</v>
      </c>
      <c r="N6" s="3">
        <f>N5</f>
        <v>100</v>
      </c>
      <c r="O6" s="1">
        <v>3</v>
      </c>
      <c r="P6" s="9"/>
      <c r="Q6" s="9"/>
      <c r="R6" s="9"/>
    </row>
    <row r="7" spans="1:18" x14ac:dyDescent="0.25">
      <c r="A7" s="1">
        <v>4</v>
      </c>
      <c r="B7" s="3">
        <f t="shared" ref="B7:B8" si="0">B6</f>
        <v>99.999421442752109</v>
      </c>
      <c r="D7" s="3">
        <f>Data!F43</f>
        <v>3.2203810739304646</v>
      </c>
      <c r="E7" s="3">
        <f>Data!G43</f>
        <v>3.3307675913592845</v>
      </c>
      <c r="F7" s="3">
        <f>Data!H43</f>
        <v>3.4409187731208148</v>
      </c>
      <c r="G7" s="3">
        <f>Data!I43</f>
        <v>3.5507734609481516</v>
      </c>
      <c r="H7" s="3">
        <f>Data!J43</f>
        <v>3.660258466077571</v>
      </c>
      <c r="I7" s="3">
        <f>Data!K43</f>
        <v>3.769286993078059</v>
      </c>
      <c r="J7" s="3">
        <f>Data!L43</f>
        <v>3.8777569872964914</v>
      </c>
      <c r="K7" s="3">
        <f>Data!M43</f>
        <v>3.9855494216011698</v>
      </c>
      <c r="L7" s="3">
        <f>Data!N43</f>
        <v>4.0925265412672394</v>
      </c>
      <c r="N7" s="3">
        <f t="shared" ref="N7:N8" si="1">N6</f>
        <v>100</v>
      </c>
      <c r="O7" s="1">
        <v>4</v>
      </c>
      <c r="P7" s="9"/>
      <c r="Q7" s="9"/>
      <c r="R7" s="9"/>
    </row>
    <row r="8" spans="1:18" x14ac:dyDescent="0.25">
      <c r="A8" s="1">
        <v>5</v>
      </c>
      <c r="B8" s="3">
        <f t="shared" si="0"/>
        <v>99.999421442752109</v>
      </c>
      <c r="D8" s="3">
        <f>Data!F54</f>
        <v>3.5092610419892809</v>
      </c>
      <c r="E8" s="3">
        <f>Data!G54</f>
        <v>3.6282566757426093</v>
      </c>
      <c r="F8" s="3">
        <f>Data!H54</f>
        <v>3.7465753510826922</v>
      </c>
      <c r="G8" s="3">
        <f>Data!I54</f>
        <v>3.8640564851634154</v>
      </c>
      <c r="H8" s="3">
        <f>Data!J54</f>
        <v>3.9805124960696139</v>
      </c>
      <c r="I8" s="3">
        <f>Data!K54</f>
        <v>4.0957264067922825</v>
      </c>
      <c r="J8" s="3">
        <f>Data!L54</f>
        <v>4.2094495821813886</v>
      </c>
      <c r="K8" s="3">
        <f>Data!M54</f>
        <v>4.3213996624715003</v>
      </c>
      <c r="L8" s="3">
        <f>Data!N54</f>
        <v>4.4312587606495484</v>
      </c>
      <c r="N8" s="3">
        <f t="shared" si="1"/>
        <v>100</v>
      </c>
      <c r="O8" s="1">
        <v>5</v>
      </c>
      <c r="P8" s="9"/>
      <c r="Q8" s="9"/>
      <c r="R8" s="9"/>
    </row>
    <row r="11" spans="1:18" x14ac:dyDescent="0.25">
      <c r="A11" s="1" t="s">
        <v>30</v>
      </c>
      <c r="C11" s="1" t="s">
        <v>27</v>
      </c>
      <c r="D11" s="7" t="s">
        <v>36</v>
      </c>
      <c r="E11" s="7"/>
      <c r="F11" s="7"/>
      <c r="G11" s="7"/>
      <c r="H11" s="7"/>
      <c r="I11" s="7"/>
      <c r="J11" s="7"/>
      <c r="K11" s="7"/>
      <c r="L11" s="7"/>
      <c r="M11" s="1" t="s">
        <v>27</v>
      </c>
      <c r="O11" s="1" t="s">
        <v>30</v>
      </c>
      <c r="P11" s="9" t="s">
        <v>41</v>
      </c>
      <c r="Q11" s="9"/>
      <c r="R11" s="9"/>
    </row>
    <row r="12" spans="1:18" x14ac:dyDescent="0.25">
      <c r="C12" s="1" t="s">
        <v>37</v>
      </c>
      <c r="D12" s="1">
        <v>7</v>
      </c>
      <c r="E12" s="1">
        <v>8</v>
      </c>
      <c r="F12" s="1">
        <v>9</v>
      </c>
      <c r="G12" s="1">
        <v>10</v>
      </c>
      <c r="H12" s="1">
        <v>11</v>
      </c>
      <c r="I12" s="1">
        <v>12</v>
      </c>
      <c r="J12" s="1">
        <v>13</v>
      </c>
      <c r="K12" s="1">
        <v>14</v>
      </c>
      <c r="L12" s="1">
        <v>15</v>
      </c>
      <c r="M12" s="1" t="s">
        <v>39</v>
      </c>
      <c r="P12" s="10" t="s">
        <v>48</v>
      </c>
      <c r="Q12" s="9"/>
      <c r="R12" s="9"/>
    </row>
    <row r="13" spans="1:18" x14ac:dyDescent="0.25">
      <c r="B13" s="1" t="s">
        <v>35</v>
      </c>
      <c r="C13" s="1" t="s">
        <v>28</v>
      </c>
      <c r="D13" s="8" t="s">
        <v>31</v>
      </c>
      <c r="E13" s="8"/>
      <c r="F13" s="8"/>
      <c r="G13" s="8"/>
      <c r="H13" s="8"/>
      <c r="I13" s="8"/>
      <c r="J13" s="8"/>
      <c r="K13" s="8"/>
      <c r="L13" s="8"/>
      <c r="M13" s="1" t="s">
        <v>38</v>
      </c>
      <c r="N13" s="1" t="s">
        <v>35</v>
      </c>
      <c r="P13" s="9"/>
      <c r="Q13" s="9"/>
      <c r="R13" s="9"/>
    </row>
    <row r="14" spans="1:18" x14ac:dyDescent="0.25">
      <c r="A14" s="1">
        <v>1</v>
      </c>
      <c r="B14" s="3">
        <f>SUM(Data!P2:P9)*100</f>
        <v>45.630596898532353</v>
      </c>
      <c r="D14" s="3">
        <f>Data!P10</f>
        <v>0.56565656565656552</v>
      </c>
      <c r="E14" s="3">
        <f>Data!Q10</f>
        <v>0.64646464646464641</v>
      </c>
      <c r="F14" s="3">
        <f>Data!R10</f>
        <v>0.72727272727272718</v>
      </c>
      <c r="G14" s="3">
        <f>Data!S10</f>
        <v>0.80808080808080784</v>
      </c>
      <c r="H14" s="3">
        <f>Data!T10</f>
        <v>0.88888888888888895</v>
      </c>
      <c r="I14" s="3">
        <f>Data!U10</f>
        <v>0.96969696969696972</v>
      </c>
      <c r="J14" s="3">
        <f>Data!V10</f>
        <v>1.0505050505050499</v>
      </c>
      <c r="K14" s="3">
        <f>Data!W10</f>
        <v>1.131313131313131</v>
      </c>
      <c r="L14" s="3">
        <f>Data!X10</f>
        <v>1.2121212121212119</v>
      </c>
      <c r="N14" s="3">
        <f>SUM(Data!X2:X9)*100</f>
        <v>74.535674124415493</v>
      </c>
      <c r="O14" s="1">
        <v>1</v>
      </c>
      <c r="P14" s="9"/>
      <c r="Q14" s="9"/>
      <c r="R14" s="9"/>
    </row>
    <row r="15" spans="1:18" x14ac:dyDescent="0.25">
      <c r="A15" s="1">
        <v>2</v>
      </c>
      <c r="B15" s="3">
        <f>SUM(Data!P13:P20)*100</f>
        <v>49.812858675568343</v>
      </c>
      <c r="D15" s="3">
        <f>Data!P21</f>
        <v>0.63636363636363635</v>
      </c>
      <c r="E15" s="3">
        <f>Data!Q21</f>
        <v>0.72727272727272718</v>
      </c>
      <c r="F15" s="3">
        <f>Data!R21</f>
        <v>0.81818181817661884</v>
      </c>
      <c r="G15" s="3">
        <f>Data!S21</f>
        <v>0.90909090903891676</v>
      </c>
      <c r="H15" s="3">
        <f>Data!T21</f>
        <v>0.99999999971404374</v>
      </c>
      <c r="I15" s="3">
        <f>Data!U21</f>
        <v>1.090909089765264</v>
      </c>
      <c r="J15" s="3">
        <f>Data!V21</f>
        <v>1.1818181781007435</v>
      </c>
      <c r="K15" s="3">
        <f>Data!W21</f>
        <v>1.2727272623184462</v>
      </c>
      <c r="L15" s="3">
        <f>Data!X21</f>
        <v>1.3636363376142984</v>
      </c>
      <c r="N15" s="3">
        <f>SUM(Data!X13:X20)*100</f>
        <v>78.733090188399785</v>
      </c>
      <c r="O15" s="1">
        <v>2</v>
      </c>
      <c r="P15" s="9"/>
      <c r="Q15" s="9"/>
      <c r="R15" s="9"/>
    </row>
    <row r="16" spans="1:18" x14ac:dyDescent="0.25">
      <c r="A16" s="1">
        <v>3</v>
      </c>
      <c r="B16" s="3">
        <f>SUM(Data!P24:P31)*100</f>
        <v>53.716303000801915</v>
      </c>
      <c r="D16" s="3">
        <f>Data!P32</f>
        <v>0.70707070707070729</v>
      </c>
      <c r="E16" s="3">
        <f>Data!Q32</f>
        <v>0.80808080808080796</v>
      </c>
      <c r="F16" s="3">
        <f>Data!R32</f>
        <v>0.90909090903891676</v>
      </c>
      <c r="G16" s="3">
        <f>Data!S32</f>
        <v>1.0101010095862242</v>
      </c>
      <c r="H16" s="3">
        <f>Data!T32</f>
        <v>1.1111111083080287</v>
      </c>
      <c r="I16" s="3">
        <f>Data!U32</f>
        <v>1.2121212010218534</v>
      </c>
      <c r="J16" s="3">
        <f>Data!V32</f>
        <v>1.3131312774255512</v>
      </c>
      <c r="K16" s="3">
        <f>Data!W32</f>
        <v>1.4141413151933147</v>
      </c>
      <c r="L16" s="3">
        <f>Data!X32</f>
        <v>1.5151512703513472</v>
      </c>
      <c r="N16" s="3">
        <f>SUM(Data!X24:X31)*100</f>
        <v>82.277572680084731</v>
      </c>
      <c r="O16" s="1">
        <v>3</v>
      </c>
      <c r="P16" s="9"/>
      <c r="Q16" s="9"/>
      <c r="R16" s="9"/>
    </row>
    <row r="17" spans="1:18" x14ac:dyDescent="0.25">
      <c r="A17" s="1">
        <v>4</v>
      </c>
      <c r="B17" s="3">
        <f>SUM(Data!P35:P42)*100</f>
        <v>57.356593776019736</v>
      </c>
      <c r="D17" s="3">
        <f>Data!P43</f>
        <v>0.77777777777777779</v>
      </c>
      <c r="E17" s="3">
        <f>Data!Q43</f>
        <v>0.88888888888888873</v>
      </c>
      <c r="F17" s="3">
        <f>Data!R43</f>
        <v>0.99999999971404363</v>
      </c>
      <c r="G17" s="3">
        <f>Data!S43</f>
        <v>1.1111111083080292</v>
      </c>
      <c r="H17" s="3">
        <f>Data!T43</f>
        <v>1.2222222071127979</v>
      </c>
      <c r="I17" s="3">
        <f>Data!U43</f>
        <v>1.3333332741131758</v>
      </c>
      <c r="J17" s="3">
        <f>Data!V43</f>
        <v>1.4444442558951083</v>
      </c>
      <c r="K17" s="3">
        <f>Data!W43</f>
        <v>1.555555038468353</v>
      </c>
      <c r="L17" s="3">
        <f>Data!X43</f>
        <v>1.6666654007901178</v>
      </c>
      <c r="N17" s="3">
        <f>SUM(Data!X35:X42)*100</f>
        <v>85.264486849854435</v>
      </c>
      <c r="O17" s="1">
        <v>4</v>
      </c>
      <c r="P17" s="9"/>
      <c r="Q17" s="9"/>
      <c r="R17" s="9"/>
    </row>
    <row r="18" spans="1:18" x14ac:dyDescent="0.25">
      <c r="A18" s="1">
        <v>5</v>
      </c>
      <c r="B18" s="3">
        <f>SUM(Data!P46:P53)*100</f>
        <v>60.748682907472698</v>
      </c>
      <c r="D18" s="3">
        <f>Data!P54</f>
        <v>0.8484848484848484</v>
      </c>
      <c r="E18" s="3">
        <f>Data!Q54</f>
        <v>0.96969696969696961</v>
      </c>
      <c r="F18" s="3">
        <f>Data!R54</f>
        <v>1.0909090897652636</v>
      </c>
      <c r="G18" s="3">
        <f>Data!S54</f>
        <v>1.2121212010218536</v>
      </c>
      <c r="H18" s="3">
        <f>Data!T54</f>
        <v>1.3333332741131758</v>
      </c>
      <c r="I18" s="3">
        <f>Data!U54</f>
        <v>1.4545452248208472</v>
      </c>
      <c r="J18" s="3">
        <f>Data!V54</f>
        <v>1.57575685192971</v>
      </c>
      <c r="K18" s="3">
        <f>Data!W54</f>
        <v>1.6969677326978574</v>
      </c>
      <c r="L18" s="3">
        <f>Data!X54</f>
        <v>1.8181770603288134</v>
      </c>
      <c r="N18" s="3">
        <f>SUM(Data!X46:X53)*100</f>
        <v>87.776180958630874</v>
      </c>
      <c r="O18" s="1">
        <v>5</v>
      </c>
      <c r="P18" s="9"/>
      <c r="Q18" s="9"/>
      <c r="R18" s="9"/>
    </row>
    <row r="21" spans="1:18" x14ac:dyDescent="0.25">
      <c r="A21" s="1" t="s">
        <v>30</v>
      </c>
      <c r="C21" s="1" t="s">
        <v>27</v>
      </c>
      <c r="D21" s="7" t="s">
        <v>40</v>
      </c>
      <c r="E21" s="7"/>
      <c r="F21" s="7"/>
      <c r="G21" s="7"/>
      <c r="H21" s="7"/>
      <c r="I21" s="7"/>
      <c r="J21" s="7"/>
      <c r="K21" s="7"/>
      <c r="L21" s="7"/>
      <c r="M21" s="1" t="s">
        <v>27</v>
      </c>
      <c r="O21" s="1" t="s">
        <v>30</v>
      </c>
      <c r="P21" s="9" t="s">
        <v>41</v>
      </c>
      <c r="Q21" s="9"/>
      <c r="R21" s="9"/>
    </row>
    <row r="22" spans="1:18" x14ac:dyDescent="0.25">
      <c r="C22" s="1" t="s">
        <v>42</v>
      </c>
      <c r="D22" s="1">
        <v>7</v>
      </c>
      <c r="E22" s="1">
        <v>8</v>
      </c>
      <c r="F22" s="1">
        <v>9</v>
      </c>
      <c r="G22" s="1">
        <v>10</v>
      </c>
      <c r="H22" s="1">
        <v>11</v>
      </c>
      <c r="I22" s="1">
        <v>12</v>
      </c>
      <c r="J22" s="1">
        <v>13</v>
      </c>
      <c r="K22" s="1">
        <v>14</v>
      </c>
      <c r="L22" s="1">
        <v>15</v>
      </c>
      <c r="M22" s="1" t="s">
        <v>43</v>
      </c>
      <c r="P22" s="10" t="s">
        <v>49</v>
      </c>
      <c r="Q22" s="9"/>
      <c r="R22" s="9"/>
    </row>
    <row r="23" spans="1:18" x14ac:dyDescent="0.25">
      <c r="B23" s="1" t="s">
        <v>35</v>
      </c>
      <c r="C23" s="1" t="s">
        <v>39</v>
      </c>
      <c r="D23" s="8" t="s">
        <v>31</v>
      </c>
      <c r="E23" s="8"/>
      <c r="F23" s="8"/>
      <c r="G23" s="8"/>
      <c r="H23" s="8"/>
      <c r="I23" s="8"/>
      <c r="J23" s="8"/>
      <c r="K23" s="8"/>
      <c r="L23" s="8"/>
      <c r="M23" s="1" t="s">
        <v>38</v>
      </c>
      <c r="N23" s="1" t="s">
        <v>35</v>
      </c>
      <c r="P23" s="9"/>
      <c r="Q23" s="9"/>
      <c r="R23" s="9"/>
    </row>
    <row r="24" spans="1:18" x14ac:dyDescent="0.25">
      <c r="A24" s="1">
        <v>1</v>
      </c>
      <c r="B24" s="3">
        <f>SUM(Data!Z2:Z9)*100</f>
        <v>45.630596898532353</v>
      </c>
      <c r="D24" s="3">
        <f>Data!Z10</f>
        <v>0.56565656565656552</v>
      </c>
      <c r="E24" s="3">
        <f>Data!AA10</f>
        <v>0.64646464646464641</v>
      </c>
      <c r="F24" s="3">
        <f>Data!AB10</f>
        <v>0.72727272727272718</v>
      </c>
      <c r="G24" s="3">
        <f>Data!AC10</f>
        <v>0.80808080808080784</v>
      </c>
      <c r="H24" s="3">
        <f>Data!AD10</f>
        <v>0.88888888888888895</v>
      </c>
      <c r="I24" s="3">
        <f>Data!AE10</f>
        <v>0.96969696969696972</v>
      </c>
      <c r="J24" s="3">
        <f>Data!AF10</f>
        <v>1.0505050505050499</v>
      </c>
      <c r="K24" s="3">
        <f>Data!AG10</f>
        <v>1.131313131313131</v>
      </c>
      <c r="L24" s="3">
        <f>Data!AH10</f>
        <v>1.2121212121212119</v>
      </c>
      <c r="N24" s="3">
        <f>SUM(Data!AH2:AH9)*100</f>
        <v>74.535674124415493</v>
      </c>
      <c r="O24" s="1">
        <v>1</v>
      </c>
      <c r="P24" s="9"/>
      <c r="Q24" s="9"/>
      <c r="R24" s="9"/>
    </row>
    <row r="25" spans="1:18" x14ac:dyDescent="0.25">
      <c r="A25" s="1">
        <v>2</v>
      </c>
      <c r="B25" s="3">
        <f>SUM(Data!Z13:Z20)*100</f>
        <v>49.812858675568343</v>
      </c>
      <c r="D25" s="3">
        <f>Data!Z21</f>
        <v>0.63636363636363635</v>
      </c>
      <c r="E25" s="3">
        <f>Data!AA21</f>
        <v>0.72727272727272718</v>
      </c>
      <c r="F25" s="3">
        <f>Data!AB21</f>
        <v>0.81818181817661884</v>
      </c>
      <c r="G25" s="3">
        <f>Data!AC21</f>
        <v>0.90909090903891676</v>
      </c>
      <c r="H25" s="3">
        <f>Data!AD21</f>
        <v>0.99999999971404374</v>
      </c>
      <c r="I25" s="3">
        <f>Data!AE21</f>
        <v>1.090909089765264</v>
      </c>
      <c r="J25" s="3">
        <f>Data!AF21</f>
        <v>1.1818181781007435</v>
      </c>
      <c r="K25" s="3">
        <f>Data!AG21</f>
        <v>1.2727272623184462</v>
      </c>
      <c r="L25" s="3">
        <f>Data!AH21</f>
        <v>1.3636363376142984</v>
      </c>
      <c r="N25" s="3">
        <f>SUM(Data!AH13:AH20)*100</f>
        <v>78.733090188399785</v>
      </c>
      <c r="O25" s="1">
        <v>2</v>
      </c>
      <c r="P25" s="9"/>
      <c r="Q25" s="9"/>
      <c r="R25" s="9"/>
    </row>
    <row r="26" spans="1:18" x14ac:dyDescent="0.25">
      <c r="A26" s="1">
        <v>3</v>
      </c>
      <c r="B26" s="3">
        <f>SUM(Data!Z24:Z31)*100</f>
        <v>53.716303000801915</v>
      </c>
      <c r="D26" s="3">
        <f>Data!Z32</f>
        <v>0.70707070707070729</v>
      </c>
      <c r="E26" s="3">
        <f>Data!AA32</f>
        <v>0.80808080808080796</v>
      </c>
      <c r="F26" s="3">
        <f>Data!AB32</f>
        <v>0.90909090903891676</v>
      </c>
      <c r="G26" s="3">
        <f>Data!AC32</f>
        <v>1.0101010095862242</v>
      </c>
      <c r="H26" s="3">
        <f>Data!AD32</f>
        <v>1.1111111083080287</v>
      </c>
      <c r="I26" s="3">
        <f>Data!AE32</f>
        <v>1.2121212010218534</v>
      </c>
      <c r="J26" s="3">
        <f>Data!AF32</f>
        <v>1.3131312774255512</v>
      </c>
      <c r="K26" s="3">
        <f>Data!AG32</f>
        <v>1.4141413151933147</v>
      </c>
      <c r="L26" s="3">
        <f>Data!AH32</f>
        <v>1.5151512703513472</v>
      </c>
      <c r="N26" s="3">
        <f>SUM(Data!AH24:AH31)*100</f>
        <v>82.277572680084731</v>
      </c>
      <c r="O26" s="1">
        <v>3</v>
      </c>
      <c r="P26" s="9"/>
      <c r="Q26" s="9"/>
      <c r="R26" s="9"/>
    </row>
    <row r="27" spans="1:18" x14ac:dyDescent="0.25">
      <c r="A27" s="1">
        <v>4</v>
      </c>
      <c r="B27" s="3">
        <f>SUM(Data!Z35:Z42)*100</f>
        <v>57.356593776019736</v>
      </c>
      <c r="D27" s="3">
        <f>Data!Z43</f>
        <v>0.77777777777777779</v>
      </c>
      <c r="E27" s="3">
        <f>Data!AA43</f>
        <v>0.88888888888888873</v>
      </c>
      <c r="F27" s="3">
        <f>Data!AB43</f>
        <v>0.99999999971404363</v>
      </c>
      <c r="G27" s="3">
        <f>Data!AC43</f>
        <v>1.1111111083080292</v>
      </c>
      <c r="H27" s="3">
        <f>Data!AD43</f>
        <v>1.2222222071127979</v>
      </c>
      <c r="I27" s="3">
        <f>Data!AE43</f>
        <v>1.3333332741131758</v>
      </c>
      <c r="J27" s="3">
        <f>Data!AF43</f>
        <v>1.4444442558951083</v>
      </c>
      <c r="K27" s="3">
        <f>Data!AG43</f>
        <v>1.555555038468353</v>
      </c>
      <c r="L27" s="3">
        <f>Data!AH43</f>
        <v>1.6666654007901178</v>
      </c>
      <c r="N27" s="3">
        <f>SUM(Data!AH35:AH42)*100</f>
        <v>85.264486849854435</v>
      </c>
      <c r="O27" s="1">
        <v>4</v>
      </c>
      <c r="P27" s="9"/>
      <c r="Q27" s="9"/>
      <c r="R27" s="9"/>
    </row>
    <row r="28" spans="1:18" x14ac:dyDescent="0.25">
      <c r="A28" s="1">
        <v>5</v>
      </c>
      <c r="B28" s="3">
        <f>SUM(Data!Z46:Z53)*100</f>
        <v>60.748682907472698</v>
      </c>
      <c r="D28" s="3">
        <f>Data!Z54</f>
        <v>0.8484848484848484</v>
      </c>
      <c r="E28" s="3">
        <f>Data!AA54</f>
        <v>0.96969696969696961</v>
      </c>
      <c r="F28" s="3">
        <f>Data!AB54</f>
        <v>1.0909090897652636</v>
      </c>
      <c r="G28" s="3">
        <f>Data!AC54</f>
        <v>1.2121212010218536</v>
      </c>
      <c r="H28" s="3">
        <f>Data!AD54</f>
        <v>1.3333332741131758</v>
      </c>
      <c r="I28" s="3">
        <f>Data!AE54</f>
        <v>1.4545452248208472</v>
      </c>
      <c r="J28" s="3">
        <f>Data!AF54</f>
        <v>1.57575685192971</v>
      </c>
      <c r="K28" s="3">
        <f>Data!AG54</f>
        <v>1.6969677326978574</v>
      </c>
      <c r="L28" s="3">
        <f>Data!AH54</f>
        <v>1.8181770603288134</v>
      </c>
      <c r="N28" s="3">
        <f>SUM(Data!AH46:AH53)*100</f>
        <v>87.776180958630874</v>
      </c>
      <c r="O28" s="1">
        <v>5</v>
      </c>
      <c r="P28" s="9"/>
      <c r="Q28" s="9"/>
      <c r="R28" s="9"/>
    </row>
    <row r="31" spans="1:18" x14ac:dyDescent="0.25">
      <c r="A31" s="1" t="s">
        <v>30</v>
      </c>
      <c r="C31" s="1" t="s">
        <v>27</v>
      </c>
      <c r="D31" s="7" t="s">
        <v>44</v>
      </c>
      <c r="E31" s="7"/>
      <c r="F31" s="7"/>
      <c r="G31" s="7"/>
      <c r="H31" s="7"/>
      <c r="I31" s="7"/>
      <c r="J31" s="7"/>
      <c r="K31" s="7"/>
      <c r="L31" s="7"/>
      <c r="M31" s="1" t="s">
        <v>27</v>
      </c>
      <c r="O31" s="1" t="s">
        <v>30</v>
      </c>
      <c r="P31" s="9" t="s">
        <v>41</v>
      </c>
      <c r="Q31" s="9"/>
      <c r="R31" s="9"/>
    </row>
    <row r="32" spans="1:18" x14ac:dyDescent="0.25">
      <c r="C32" s="1" t="s">
        <v>45</v>
      </c>
      <c r="D32" s="1">
        <v>0</v>
      </c>
      <c r="E32" s="1">
        <v>1</v>
      </c>
      <c r="F32" s="1">
        <v>2</v>
      </c>
      <c r="G32" s="1">
        <v>3</v>
      </c>
      <c r="H32" s="1">
        <v>4</v>
      </c>
      <c r="I32" s="1">
        <v>5</v>
      </c>
      <c r="J32" s="1">
        <v>6</v>
      </c>
      <c r="K32" s="1">
        <v>7</v>
      </c>
      <c r="L32" s="1">
        <v>8</v>
      </c>
      <c r="M32" s="1" t="s">
        <v>38</v>
      </c>
      <c r="P32" s="10" t="s">
        <v>50</v>
      </c>
      <c r="Q32" s="9"/>
      <c r="R32" s="9"/>
    </row>
    <row r="33" spans="1:18" x14ac:dyDescent="0.25">
      <c r="B33" s="1" t="s">
        <v>35</v>
      </c>
      <c r="C33" s="1" t="s">
        <v>28</v>
      </c>
      <c r="D33" s="8" t="s">
        <v>31</v>
      </c>
      <c r="E33" s="8"/>
      <c r="F33" s="8"/>
      <c r="G33" s="8"/>
      <c r="H33" s="8"/>
      <c r="I33" s="8"/>
      <c r="J33" s="8"/>
      <c r="K33" s="8"/>
      <c r="L33" s="8"/>
      <c r="N33" s="1" t="s">
        <v>35</v>
      </c>
      <c r="P33" s="9"/>
      <c r="Q33" s="9"/>
      <c r="R33" s="9"/>
    </row>
    <row r="34" spans="1:18" x14ac:dyDescent="0.25">
      <c r="A34" s="1">
        <v>1</v>
      </c>
      <c r="B34" s="3">
        <f>SUM(Data!AJ2:AJ9)*100</f>
        <v>0</v>
      </c>
      <c r="D34" s="3">
        <f>Data!AJ10</f>
        <v>0</v>
      </c>
      <c r="E34" s="3">
        <f>Data!AK10</f>
        <v>8.0808080808080815E-2</v>
      </c>
      <c r="F34" s="3">
        <f>Data!AL10</f>
        <v>0.16161616161616157</v>
      </c>
      <c r="G34" s="3">
        <f>Data!AM10</f>
        <v>0.24242424242424235</v>
      </c>
      <c r="H34" s="3">
        <f>Data!AN10</f>
        <v>0.32323232323232309</v>
      </c>
      <c r="I34" s="3">
        <f>Data!AO10</f>
        <v>0.40404040404040403</v>
      </c>
      <c r="J34" s="3">
        <f>Data!AP10</f>
        <v>0.48484848484848497</v>
      </c>
      <c r="K34" s="3">
        <f>Data!AQ10</f>
        <v>0.56565656565656552</v>
      </c>
      <c r="L34" s="3">
        <f>Data!AR10</f>
        <v>0.64646464646464641</v>
      </c>
      <c r="N34" s="3">
        <f>SUM(Data!AR2:AR9)*100</f>
        <v>50.358371081268686</v>
      </c>
      <c r="O34" s="1">
        <v>1</v>
      </c>
      <c r="P34" s="9"/>
      <c r="Q34" s="9"/>
      <c r="R34" s="9"/>
    </row>
    <row r="35" spans="1:18" x14ac:dyDescent="0.25">
      <c r="A35" s="1">
        <v>2</v>
      </c>
      <c r="B35" s="3">
        <f>SUM(Data!AJ13:AJ20)*100</f>
        <v>0</v>
      </c>
      <c r="D35" s="3">
        <f>Data!AJ21</f>
        <v>0</v>
      </c>
      <c r="E35" s="3">
        <f>Data!AK21</f>
        <v>9.0909090909090912E-2</v>
      </c>
      <c r="F35" s="3">
        <f>Data!AL21</f>
        <v>0.18181818181818188</v>
      </c>
      <c r="G35" s="3">
        <f>Data!AM21</f>
        <v>0.27272727272727271</v>
      </c>
      <c r="H35" s="3">
        <f>Data!AN21</f>
        <v>0.36363636363636354</v>
      </c>
      <c r="I35" s="3">
        <f>Data!AO21</f>
        <v>0.45454545454545464</v>
      </c>
      <c r="J35" s="3">
        <f>Data!AP21</f>
        <v>0.54545454545454553</v>
      </c>
      <c r="K35" s="3">
        <f>Data!AQ21</f>
        <v>0.63636363636363635</v>
      </c>
      <c r="L35" s="3">
        <f>Data!AR21</f>
        <v>0.72727272727272718</v>
      </c>
      <c r="N35" s="3">
        <f>SUM(Data!AR13:AR20)*100</f>
        <v>54.722470326871417</v>
      </c>
      <c r="O35" s="1">
        <v>2</v>
      </c>
      <c r="P35" s="9"/>
      <c r="Q35" s="9"/>
      <c r="R35" s="9"/>
    </row>
    <row r="36" spans="1:18" x14ac:dyDescent="0.25">
      <c r="A36" s="1">
        <v>3</v>
      </c>
      <c r="B36" s="3">
        <f>SUM(Data!AJ24:AJ31)*100</f>
        <v>0</v>
      </c>
      <c r="D36" s="3">
        <f>Data!AJ232</f>
        <v>0</v>
      </c>
      <c r="E36" s="3">
        <f>Data!AK232</f>
        <v>0</v>
      </c>
      <c r="F36" s="3">
        <f>Data!AL232</f>
        <v>0</v>
      </c>
      <c r="G36" s="3">
        <f>Data!AM232</f>
        <v>0</v>
      </c>
      <c r="H36" s="3">
        <f>Data!AN232</f>
        <v>0</v>
      </c>
      <c r="I36" s="3">
        <f>Data!AO232</f>
        <v>0</v>
      </c>
      <c r="J36" s="3">
        <f>Data!AP232</f>
        <v>0</v>
      </c>
      <c r="K36" s="3">
        <f>Data!AQ232</f>
        <v>0</v>
      </c>
      <c r="L36" s="3">
        <f>Data!AR232</f>
        <v>0</v>
      </c>
      <c r="N36" s="3">
        <f>SUM(Data!AR24:AR31)*100</f>
        <v>58.747139631149537</v>
      </c>
      <c r="O36" s="1">
        <v>3</v>
      </c>
      <c r="P36" s="9"/>
      <c r="Q36" s="9"/>
      <c r="R36" s="9"/>
    </row>
    <row r="37" spans="1:18" x14ac:dyDescent="0.25">
      <c r="A37" s="1">
        <v>4</v>
      </c>
      <c r="B37" s="3">
        <f>SUM(Data!AJ35:AJ42)*100</f>
        <v>0</v>
      </c>
      <c r="D37" s="3">
        <f>Data!AJ43</f>
        <v>0</v>
      </c>
      <c r="E37" s="3">
        <f>Data!AK43</f>
        <v>0.1111111111111111</v>
      </c>
      <c r="F37" s="3">
        <f>Data!AL43</f>
        <v>0.22222222222222221</v>
      </c>
      <c r="G37" s="3">
        <f>Data!AM43</f>
        <v>0.33333333333333343</v>
      </c>
      <c r="H37" s="3">
        <f>Data!AN43</f>
        <v>0.44444444444444425</v>
      </c>
      <c r="I37" s="3">
        <f>Data!AO43</f>
        <v>0.55555555555555569</v>
      </c>
      <c r="J37" s="3">
        <f>Data!AP43</f>
        <v>0.66666666666666696</v>
      </c>
      <c r="K37" s="3">
        <f>Data!AQ43</f>
        <v>0.77777777777777779</v>
      </c>
      <c r="L37" s="3">
        <f>Data!AR43</f>
        <v>0.88888888888888873</v>
      </c>
      <c r="N37" s="3">
        <f>SUM(Data!AR35:AR42)*100</f>
        <v>62.455261911495619</v>
      </c>
      <c r="O37" s="1">
        <v>4</v>
      </c>
      <c r="P37" s="9"/>
      <c r="Q37" s="9"/>
      <c r="R37" s="9"/>
    </row>
    <row r="38" spans="1:18" x14ac:dyDescent="0.25">
      <c r="A38" s="1">
        <v>5</v>
      </c>
      <c r="B38" s="3">
        <f>SUM(Data!AJ46:AJ53)*100</f>
        <v>0</v>
      </c>
      <c r="D38" s="3">
        <f>Data!AJ54</f>
        <v>0</v>
      </c>
      <c r="E38" s="3">
        <f>Data!AK54</f>
        <v>0.12121212121212119</v>
      </c>
      <c r="F38" s="3">
        <f>Data!AL54</f>
        <v>0.24242424242424238</v>
      </c>
      <c r="G38" s="3">
        <f>Data!AM54</f>
        <v>0.36363636363636365</v>
      </c>
      <c r="H38" s="3">
        <f>Data!AN54</f>
        <v>0.4848484848484847</v>
      </c>
      <c r="I38" s="3">
        <f>Data!AO54</f>
        <v>0.60606060606060597</v>
      </c>
      <c r="J38" s="3">
        <f>Data!AP54</f>
        <v>0.7272727272727274</v>
      </c>
      <c r="K38" s="3">
        <f>Data!AQ54</f>
        <v>0.8484848484848484</v>
      </c>
      <c r="L38" s="3">
        <f>Data!AR54</f>
        <v>0.96969696969696961</v>
      </c>
      <c r="N38" s="3">
        <f>SUM(Data!AR46:AR53)*100</f>
        <v>65.868419919541495</v>
      </c>
      <c r="O38" s="1">
        <v>5</v>
      </c>
      <c r="P38" s="9"/>
      <c r="Q38" s="9"/>
      <c r="R38" s="9"/>
    </row>
    <row r="41" spans="1:18" x14ac:dyDescent="0.25">
      <c r="A41" s="1" t="s">
        <v>30</v>
      </c>
      <c r="C41" s="1" t="s">
        <v>27</v>
      </c>
      <c r="D41" s="7" t="s">
        <v>46</v>
      </c>
      <c r="E41" s="7"/>
      <c r="F41" s="7"/>
      <c r="G41" s="7"/>
      <c r="H41" s="7"/>
      <c r="I41" s="7"/>
      <c r="J41" s="7"/>
      <c r="K41" s="7"/>
      <c r="L41" s="7"/>
      <c r="M41" s="1" t="s">
        <v>27</v>
      </c>
      <c r="O41" s="1" t="s">
        <v>30</v>
      </c>
      <c r="P41" s="9" t="s">
        <v>41</v>
      </c>
      <c r="Q41" s="9"/>
      <c r="R41" s="9"/>
    </row>
    <row r="42" spans="1:18" x14ac:dyDescent="0.25">
      <c r="C42" s="1" t="s">
        <v>33</v>
      </c>
      <c r="D42" s="1">
        <v>9</v>
      </c>
      <c r="E42" s="1">
        <v>10</v>
      </c>
      <c r="F42" s="1">
        <v>11</v>
      </c>
      <c r="G42" s="1">
        <v>12</v>
      </c>
      <c r="H42" s="1">
        <v>13</v>
      </c>
      <c r="I42" s="1">
        <v>14</v>
      </c>
      <c r="J42" s="1">
        <v>15</v>
      </c>
      <c r="K42" s="1">
        <v>16</v>
      </c>
      <c r="L42" s="1">
        <v>17</v>
      </c>
      <c r="M42" s="1" t="s">
        <v>29</v>
      </c>
      <c r="P42" s="10" t="s">
        <v>51</v>
      </c>
      <c r="Q42" s="9"/>
      <c r="R42" s="9"/>
    </row>
    <row r="43" spans="1:18" x14ac:dyDescent="0.25">
      <c r="B43" s="1" t="s">
        <v>35</v>
      </c>
      <c r="C43" s="1" t="s">
        <v>28</v>
      </c>
      <c r="D43" s="8" t="s">
        <v>31</v>
      </c>
      <c r="E43" s="8"/>
      <c r="F43" s="8"/>
      <c r="G43" s="8"/>
      <c r="H43" s="8"/>
      <c r="I43" s="8"/>
      <c r="J43" s="8"/>
      <c r="K43" s="8"/>
      <c r="L43" s="8"/>
      <c r="M43" s="1" t="s">
        <v>34</v>
      </c>
      <c r="N43" s="1" t="s">
        <v>35</v>
      </c>
      <c r="P43" s="9"/>
      <c r="Q43" s="9"/>
      <c r="R43" s="9"/>
    </row>
    <row r="44" spans="1:18" x14ac:dyDescent="0.25">
      <c r="A44" s="1">
        <v>1</v>
      </c>
      <c r="B44" s="3">
        <f>SUM(Data!AT2:AT9)*100</f>
        <v>54.722470326871417</v>
      </c>
      <c r="D44" s="3">
        <f>Data!AT10</f>
        <v>0.72727272727272718</v>
      </c>
      <c r="E44" s="3">
        <f>Data!AU10</f>
        <v>0.80808080808080784</v>
      </c>
      <c r="F44" s="3">
        <f>Data!AV10</f>
        <v>0.88888888888888895</v>
      </c>
      <c r="G44" s="3">
        <f>Data!AW10</f>
        <v>0.96969696969696972</v>
      </c>
      <c r="H44" s="3">
        <f>Data!AX10</f>
        <v>1.0505050505050499</v>
      </c>
      <c r="I44" s="3">
        <f>Data!AY10</f>
        <v>1.131313131313131</v>
      </c>
      <c r="J44" s="3">
        <f>Data!AZ10</f>
        <v>1.2121212121212119</v>
      </c>
      <c r="K44" s="3">
        <f>Data!BA10</f>
        <v>1.2929292929292935</v>
      </c>
      <c r="L44" s="3">
        <f>Data!BB10</f>
        <v>1.3737373737373739</v>
      </c>
      <c r="N44" s="3">
        <f>SUM(Data!BB2:BB9)*100</f>
        <v>79.181489172284643</v>
      </c>
      <c r="O44" s="1">
        <v>1</v>
      </c>
      <c r="P44" s="9"/>
      <c r="Q44" s="9"/>
      <c r="R44" s="9"/>
    </row>
    <row r="45" spans="1:18" x14ac:dyDescent="0.25">
      <c r="A45" s="1">
        <v>2</v>
      </c>
      <c r="B45" s="3">
        <f>SUM(Data!AT13:AT20)*100</f>
        <v>59.200467767013187</v>
      </c>
      <c r="D45" s="3">
        <f>Data!AT21</f>
        <v>0.81818181817661884</v>
      </c>
      <c r="E45" s="3">
        <f>Data!AU21</f>
        <v>0.90909090903891676</v>
      </c>
      <c r="F45" s="3">
        <f>Data!AV21</f>
        <v>0.99999999971404374</v>
      </c>
      <c r="G45" s="3">
        <f>Data!AW21</f>
        <v>1.090909089765264</v>
      </c>
      <c r="H45" s="3">
        <f>Data!AX21</f>
        <v>1.1818181781007435</v>
      </c>
      <c r="I45" s="3">
        <f>Data!AY21</f>
        <v>1.2727272623184462</v>
      </c>
      <c r="J45" s="3">
        <f>Data!AZ21</f>
        <v>1.3636363376142984</v>
      </c>
      <c r="K45" s="3">
        <f>Data!BA21</f>
        <v>1.4545453950664489</v>
      </c>
      <c r="L45" s="3">
        <f>Data!BB21</f>
        <v>1.5454544190616581</v>
      </c>
      <c r="N45" s="3">
        <f>SUM(Data!BB13:BB20)*100</f>
        <v>83.070660120349572</v>
      </c>
      <c r="O45" s="1">
        <v>2</v>
      </c>
      <c r="P45" s="9"/>
      <c r="Q45" s="9"/>
      <c r="R45" s="9"/>
    </row>
    <row r="46" spans="1:18" x14ac:dyDescent="0.25">
      <c r="A46" s="1">
        <v>3</v>
      </c>
      <c r="B46" s="3">
        <f>SUM(Data!AT24:AT31)*100</f>
        <v>63.28042098978618</v>
      </c>
      <c r="D46" s="3">
        <f>Data!AT32</f>
        <v>0.90909090903891676</v>
      </c>
      <c r="E46" s="3">
        <f>Data!AU32</f>
        <v>1.0101010095862242</v>
      </c>
      <c r="F46" s="3">
        <f>Data!AV32</f>
        <v>1.1111111083080287</v>
      </c>
      <c r="G46" s="3">
        <f>Data!AW32</f>
        <v>1.2121212010218534</v>
      </c>
      <c r="H46" s="3">
        <f>Data!AX32</f>
        <v>1.3131312774255512</v>
      </c>
      <c r="I46" s="3">
        <f>Data!AY32</f>
        <v>1.4141413151933147</v>
      </c>
      <c r="J46" s="3">
        <f>Data!AZ32</f>
        <v>1.5151512703513472</v>
      </c>
      <c r="K46" s="3">
        <f>Data!BA32</f>
        <v>1.6161610624928444</v>
      </c>
      <c r="L46" s="3">
        <f>Data!BB32</f>
        <v>1.7171705531088253</v>
      </c>
      <c r="N46" s="3">
        <f>SUM(Data!BB24:BB31)*100</f>
        <v>86.268412538773632</v>
      </c>
      <c r="O46" s="1">
        <v>3</v>
      </c>
      <c r="P46" s="9"/>
      <c r="Q46" s="9"/>
      <c r="R46" s="9"/>
    </row>
    <row r="47" spans="1:18" x14ac:dyDescent="0.25">
      <c r="A47" s="1">
        <v>4</v>
      </c>
      <c r="B47" s="3">
        <f>SUM(Data!AT35:AT42)*100</f>
        <v>66.993636842093622</v>
      </c>
      <c r="D47" s="3">
        <f>Data!AT43</f>
        <v>0.99999999971404363</v>
      </c>
      <c r="E47" s="3">
        <f>Data!AU43</f>
        <v>1.1111111083080292</v>
      </c>
      <c r="F47" s="3">
        <f>Data!AV43</f>
        <v>1.2222222071127979</v>
      </c>
      <c r="G47" s="3">
        <f>Data!AW43</f>
        <v>1.3333332741131758</v>
      </c>
      <c r="H47" s="3">
        <f>Data!AX43</f>
        <v>1.4444442558951083</v>
      </c>
      <c r="I47" s="3">
        <f>Data!AY43</f>
        <v>1.555555038468353</v>
      </c>
      <c r="J47" s="3">
        <f>Data!AZ43</f>
        <v>1.6666654007901178</v>
      </c>
      <c r="K47" s="3">
        <f>Data!BA43</f>
        <v>1.7777749450441205</v>
      </c>
      <c r="L47" s="3">
        <f>Data!BB43</f>
        <v>1.8888829969254932</v>
      </c>
      <c r="N47" s="3">
        <f>SUM(Data!BB35:BB42)*100</f>
        <v>88.891245160128022</v>
      </c>
      <c r="O47" s="1">
        <v>4</v>
      </c>
      <c r="P47" s="9"/>
      <c r="Q47" s="9"/>
      <c r="R47" s="9"/>
    </row>
    <row r="48" spans="1:18" x14ac:dyDescent="0.25">
      <c r="A48" s="1">
        <v>5</v>
      </c>
      <c r="B48" s="3">
        <f>SUM(Data!AT46:AT53)*100</f>
        <v>70.369287609749904</v>
      </c>
      <c r="D48" s="3">
        <f>Data!AT54</f>
        <v>1.0909090897652636</v>
      </c>
      <c r="E48" s="3">
        <f>Data!AU54</f>
        <v>1.2121212010218536</v>
      </c>
      <c r="F48" s="3">
        <f>Data!AV54</f>
        <v>1.3333332741131758</v>
      </c>
      <c r="G48" s="3">
        <f>Data!AW54</f>
        <v>1.4545452248208472</v>
      </c>
      <c r="H48" s="3">
        <f>Data!AX54</f>
        <v>1.57575685192971</v>
      </c>
      <c r="I48" s="3">
        <f>Data!AY54</f>
        <v>1.6969677326978574</v>
      </c>
      <c r="J48" s="3">
        <f>Data!AZ54</f>
        <v>1.8181770603288134</v>
      </c>
      <c r="K48" s="3">
        <f>Data!BA54</f>
        <v>1.9393834061828936</v>
      </c>
      <c r="L48" s="3">
        <f>Data!BB54</f>
        <v>2.0605843884006556</v>
      </c>
      <c r="N48" s="3">
        <f>SUM(Data!BB46:BB53)*100</f>
        <v>91.037067320705873</v>
      </c>
      <c r="O48" s="1">
        <v>5</v>
      </c>
      <c r="P48" s="9"/>
      <c r="Q48" s="9"/>
      <c r="R48" s="9"/>
    </row>
    <row r="51" spans="2:20" x14ac:dyDescent="0.25">
      <c r="D51" s="7" t="s">
        <v>52</v>
      </c>
      <c r="E51" s="7"/>
      <c r="F51" s="7"/>
      <c r="G51" s="7"/>
      <c r="H51" s="7"/>
      <c r="I51" s="7"/>
      <c r="J51" s="7"/>
      <c r="K51" s="7"/>
      <c r="L51" s="7"/>
      <c r="P51" s="9" t="s">
        <v>41</v>
      </c>
      <c r="Q51" s="9"/>
      <c r="R51" s="9"/>
    </row>
    <row r="52" spans="2:20" ht="15" customHeight="1" x14ac:dyDescent="0.25">
      <c r="D52" s="9" t="s">
        <v>53</v>
      </c>
      <c r="E52" s="9"/>
      <c r="F52" s="9"/>
      <c r="G52" s="9"/>
      <c r="H52" s="9"/>
      <c r="I52" s="9"/>
      <c r="J52" s="9"/>
      <c r="K52" s="9"/>
      <c r="L52" s="9"/>
      <c r="P52" s="10" t="s">
        <v>54</v>
      </c>
      <c r="Q52" s="10"/>
      <c r="R52" s="10"/>
      <c r="S52" s="10"/>
      <c r="T52" s="10"/>
    </row>
    <row r="53" spans="2:20" x14ac:dyDescent="0.25">
      <c r="D53" s="5"/>
      <c r="E53" s="5"/>
      <c r="F53" s="5"/>
      <c r="G53" s="5"/>
      <c r="H53" s="5"/>
      <c r="I53" s="5"/>
      <c r="J53" s="5"/>
      <c r="K53" s="5"/>
      <c r="L53" s="5"/>
      <c r="P53" s="10"/>
      <c r="Q53" s="10"/>
      <c r="R53" s="10"/>
      <c r="S53" s="10"/>
      <c r="T53" s="10"/>
    </row>
    <row r="54" spans="2:20" x14ac:dyDescent="0.25">
      <c r="B54" s="3"/>
      <c r="D54" s="3"/>
      <c r="E54" s="3"/>
      <c r="F54" s="3"/>
      <c r="G54" s="3"/>
      <c r="H54" s="3"/>
      <c r="I54" s="3"/>
      <c r="J54" s="3"/>
      <c r="K54" s="3"/>
      <c r="L54" s="3"/>
      <c r="N54" s="3"/>
      <c r="P54" s="10"/>
      <c r="Q54" s="10"/>
      <c r="R54" s="10"/>
      <c r="S54" s="10"/>
      <c r="T54" s="10"/>
    </row>
    <row r="55" spans="2:20" x14ac:dyDescent="0.25">
      <c r="B55" s="3"/>
      <c r="D55" s="3"/>
      <c r="E55" s="3"/>
      <c r="F55" s="3"/>
      <c r="G55" s="3"/>
      <c r="H55" s="3"/>
      <c r="I55" s="3"/>
      <c r="J55" s="3"/>
      <c r="K55" s="3"/>
      <c r="L55" s="3"/>
      <c r="N55" s="3"/>
      <c r="P55" s="10"/>
      <c r="Q55" s="10"/>
      <c r="R55" s="10"/>
      <c r="S55" s="10"/>
      <c r="T55" s="10"/>
    </row>
    <row r="56" spans="2:20" x14ac:dyDescent="0.25">
      <c r="B56" s="3"/>
      <c r="D56" s="3"/>
      <c r="E56" s="3"/>
      <c r="F56" s="3"/>
      <c r="G56" s="3"/>
      <c r="H56" s="3"/>
      <c r="I56" s="3"/>
      <c r="J56" s="3"/>
      <c r="K56" s="3"/>
      <c r="L56" s="3"/>
      <c r="N56" s="3"/>
      <c r="P56" s="10"/>
      <c r="Q56" s="10"/>
      <c r="R56" s="10"/>
      <c r="S56" s="10"/>
      <c r="T56" s="10"/>
    </row>
    <row r="57" spans="2:20" x14ac:dyDescent="0.25">
      <c r="B57" s="3"/>
      <c r="D57" s="3"/>
      <c r="E57" s="3"/>
      <c r="F57" s="3"/>
      <c r="G57" s="3"/>
      <c r="H57" s="3"/>
      <c r="I57" s="3"/>
      <c r="J57" s="3"/>
      <c r="K57" s="3"/>
      <c r="L57" s="3"/>
      <c r="N57" s="3"/>
      <c r="P57" s="10"/>
      <c r="Q57" s="10"/>
      <c r="R57" s="10"/>
      <c r="S57" s="10"/>
      <c r="T57" s="10"/>
    </row>
    <row r="58" spans="2:20" x14ac:dyDescent="0.25">
      <c r="B58" s="3"/>
      <c r="D58" s="3"/>
      <c r="E58" s="3"/>
      <c r="F58" s="3"/>
      <c r="G58" s="3"/>
      <c r="H58" s="3"/>
      <c r="I58" s="3"/>
      <c r="J58" s="3"/>
      <c r="K58" s="3"/>
      <c r="L58" s="3"/>
      <c r="N58" s="3"/>
      <c r="P58" s="10"/>
      <c r="Q58" s="10"/>
      <c r="R58" s="10"/>
      <c r="S58" s="10"/>
      <c r="T58" s="10"/>
    </row>
    <row r="59" spans="2:20" x14ac:dyDescent="0.25">
      <c r="P59" s="10"/>
      <c r="Q59" s="10"/>
      <c r="R59" s="10"/>
      <c r="S59" s="10"/>
      <c r="T59" s="10"/>
    </row>
    <row r="60" spans="2:20" x14ac:dyDescent="0.25">
      <c r="P60" s="10"/>
      <c r="Q60" s="10"/>
      <c r="R60" s="10"/>
      <c r="S60" s="10"/>
      <c r="T60" s="10"/>
    </row>
    <row r="61" spans="2:20" x14ac:dyDescent="0.25">
      <c r="P61" s="10"/>
      <c r="Q61" s="10"/>
      <c r="R61" s="10"/>
      <c r="S61" s="10"/>
      <c r="T61" s="10"/>
    </row>
    <row r="62" spans="2:20" x14ac:dyDescent="0.25">
      <c r="P62" s="10"/>
      <c r="Q62" s="10"/>
      <c r="R62" s="10"/>
      <c r="S62" s="10"/>
      <c r="T62" s="10"/>
    </row>
  </sheetData>
  <mergeCells count="24">
    <mergeCell ref="P42:R48"/>
    <mergeCell ref="D43:L43"/>
    <mergeCell ref="D51:L51"/>
    <mergeCell ref="P51:R51"/>
    <mergeCell ref="D52:L52"/>
    <mergeCell ref="P52:T62"/>
    <mergeCell ref="D31:L31"/>
    <mergeCell ref="P31:R31"/>
    <mergeCell ref="P32:R38"/>
    <mergeCell ref="D33:L33"/>
    <mergeCell ref="D41:L41"/>
    <mergeCell ref="P41:R41"/>
    <mergeCell ref="D21:L21"/>
    <mergeCell ref="D23:L23"/>
    <mergeCell ref="P1:R1"/>
    <mergeCell ref="P2:R8"/>
    <mergeCell ref="P11:R11"/>
    <mergeCell ref="P12:R18"/>
    <mergeCell ref="P21:R21"/>
    <mergeCell ref="P22:R28"/>
    <mergeCell ref="D1:L1"/>
    <mergeCell ref="D3:L3"/>
    <mergeCell ref="D11:L11"/>
    <mergeCell ref="D13:L13"/>
  </mergeCells>
  <conditionalFormatting sqref="D2:L2">
    <cfRule type="colorScale" priority="6">
      <colorScale>
        <cfvo type="min"/>
        <cfvo type="max"/>
        <color rgb="FFFFC000"/>
        <color rgb="FF00B050"/>
      </colorScale>
    </cfRule>
  </conditionalFormatting>
  <conditionalFormatting sqref="D12:L12">
    <cfRule type="colorScale" priority="5">
      <colorScale>
        <cfvo type="min"/>
        <cfvo type="max"/>
        <color rgb="FFFFC000"/>
        <color rgb="FF00B050"/>
      </colorScale>
    </cfRule>
  </conditionalFormatting>
  <conditionalFormatting sqref="D22:L22">
    <cfRule type="colorScale" priority="4">
      <colorScale>
        <cfvo type="min"/>
        <cfvo type="max"/>
        <color rgb="FFFFC000"/>
        <color rgb="FF00B050"/>
      </colorScale>
    </cfRule>
  </conditionalFormatting>
  <conditionalFormatting sqref="D32:L32">
    <cfRule type="colorScale" priority="3">
      <colorScale>
        <cfvo type="min"/>
        <cfvo type="max"/>
        <color rgb="FFFFC000"/>
        <color rgb="FF00B050"/>
      </colorScale>
    </cfRule>
  </conditionalFormatting>
  <conditionalFormatting sqref="D42:L42">
    <cfRule type="colorScale" priority="2">
      <colorScale>
        <cfvo type="min"/>
        <cfvo type="max"/>
        <color rgb="FFFFC000"/>
        <color rgb="FF00B050"/>
      </colorScale>
    </cfRule>
  </conditionalFormatting>
  <conditionalFormatting sqref="D52">
    <cfRule type="colorScale" priority="1">
      <colorScale>
        <cfvo type="min"/>
        <cfvo type="max"/>
        <color rgb="FFFFC000"/>
        <color rgb="FF00B050"/>
      </colorScale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140" customWidth="1"/>
  </cols>
  <sheetData>
    <row r="1">
      <c r="A1" t="inlineStr">
        <is>
          <t xml:space="preserve">Statsfinity – Deckbuilding benchmarks</t>
        </is>
      </c>
    </row>
    <row r="2"/>
    <row r="3">
      <c r="A3" t="inlineStr">
        <is>
          <t xml:space="preserve">This sheet comes from the Statsfinity community: two players used it to optimize their Commander decks.</t>
        </is>
      </c>
    </row>
    <row r="4">
      <c r="A4" t="inlineStr">
        <is>
          <t xml:space="preserve">Statsfinity's deck check takes the ranges and play styles from it (sheet “Benchmarks by Card Role”):</t>
        </is>
      </c>
    </row>
    <row r="5">
      <c r="A5" t="inlineStr">
        <is>
          <t xml:space="preserve">Lands 29–37 · Ramp 9–17 · Card draw 7–15 · Single target removal 7–15 · Board wipes 0–8 · Win cons ~3 (±3).</t>
        </is>
      </c>
    </row>
    <row r="6">
      <c r="A6" t="inlineStr">
        <is>
          <t xml:space="preserve">The target starts in the middle of each range; every matching play style moves it a quarter of the range towards “fewer” or “more”.</t>
        </is>
      </c>
    </row>
    <row r="7">
      <c r="A7" t="inlineStr">
        <is>
          <t xml:space="preserve">Statsfinity reads the curve (low/high) from the average mana value: up to 2.8 low, from 3.6 high.</t>
        </is>
      </c>
    </row>
    <row r="8">
      <c r="A8" t="inlineStr">
        <is>
          <t xml:space="preserve">Double-faced cards with a land back: count 1:1 if the land can enter untapped (e.g. pay 3 life), otherwise 0.38 (Frank Karsten).</t>
        </is>
      </c>
    </row>
    <row r="9"/>
    <row r="10">
      <c r="A10" t="inlineStr">
        <is>
          <t xml:space="preserve">The probabilities (“At least 1 by turn X”) are hypergeometric; the sheet “Hypergeometric Calculator” computes any case of your own.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0F3D-8754-4E91-ABB7-51B4D27DC178}">
  <dimension ref="A1:E13"/>
  <sheetViews>
    <sheetView workbookViewId="0">
      <selection activeCell="E13" sqref="E13"/>
    </sheetView>
  </sheetViews>
  <sheetFormatPr baseColWidth="10" defaultRowHeight="15" x14ac:dyDescent="0.25"/>
  <cols>
    <col min="1" max="1" width="14" style="1" bestFit="1" customWidth="1"/>
    <col min="2" max="2" width="19.7109375" style="1" bestFit="1" customWidth="1"/>
    <col min="3" max="4" width="11.42578125" style="1"/>
    <col min="5" max="5" width="81.5703125" style="1" bestFit="1" customWidth="1"/>
    <col min="6" max="16384" width="11.42578125" style="1"/>
  </cols>
  <sheetData>
    <row r="1" spans="1:5" x14ac:dyDescent="0.25">
      <c r="A1" s="1" t="s">
        <v>59</v>
      </c>
      <c r="B1" s="1" t="s">
        <v>58</v>
      </c>
      <c r="C1" s="1" t="s">
        <v>56</v>
      </c>
      <c r="D1" s="1" t="s">
        <v>55</v>
      </c>
      <c r="E1" s="1" t="s">
        <v>57</v>
      </c>
    </row>
    <row r="2" spans="1:5" x14ac:dyDescent="0.25">
      <c r="A2" s="1" t="s">
        <v>60</v>
      </c>
      <c r="B2" s="1" t="s">
        <v>61</v>
      </c>
      <c r="C2" s="1" t="s">
        <v>62</v>
      </c>
      <c r="D2" s="1" t="s">
        <v>62</v>
      </c>
      <c r="E2" s="1" t="s">
        <v>63</v>
      </c>
    </row>
    <row r="3" spans="1:5" x14ac:dyDescent="0.25">
      <c r="A3" s="1" t="s">
        <v>64</v>
      </c>
      <c r="B3" s="1" t="s">
        <v>65</v>
      </c>
      <c r="C3" s="1" t="s">
        <v>62</v>
      </c>
      <c r="D3" s="1" t="s">
        <v>66</v>
      </c>
      <c r="E3" s="1" t="s">
        <v>79</v>
      </c>
    </row>
    <row r="4" spans="1:5" x14ac:dyDescent="0.25">
      <c r="A4" s="1" t="s">
        <v>67</v>
      </c>
      <c r="B4" s="1" t="s">
        <v>68</v>
      </c>
      <c r="C4" s="1" t="s">
        <v>62</v>
      </c>
      <c r="D4" s="1" t="s">
        <v>62</v>
      </c>
      <c r="E4" s="1" t="s">
        <v>69</v>
      </c>
    </row>
    <row r="5" spans="1:5" ht="60" x14ac:dyDescent="0.25">
      <c r="A5" s="1" t="s">
        <v>70</v>
      </c>
      <c r="B5" s="1" t="s">
        <v>71</v>
      </c>
      <c r="C5" s="1" t="s">
        <v>62</v>
      </c>
      <c r="D5" s="1" t="s">
        <v>62</v>
      </c>
      <c r="E5" s="4" t="s">
        <v>72</v>
      </c>
    </row>
    <row r="6" spans="1:5" x14ac:dyDescent="0.25">
      <c r="A6" s="1" t="s">
        <v>73</v>
      </c>
      <c r="B6" s="1" t="s">
        <v>74</v>
      </c>
      <c r="C6" s="1" t="s">
        <v>66</v>
      </c>
      <c r="D6" s="1" t="s">
        <v>62</v>
      </c>
      <c r="E6" s="1" t="s">
        <v>75</v>
      </c>
    </row>
    <row r="7" spans="1:5" x14ac:dyDescent="0.25">
      <c r="A7" s="1" t="s">
        <v>76</v>
      </c>
      <c r="B7" s="1" t="s">
        <v>61</v>
      </c>
      <c r="C7" s="1" t="s">
        <v>77</v>
      </c>
      <c r="D7" s="1" t="s">
        <v>66</v>
      </c>
      <c r="E7" s="1" t="s">
        <v>78</v>
      </c>
    </row>
    <row r="8" spans="1:5" x14ac:dyDescent="0.25">
      <c r="A8" s="1" t="s">
        <v>80</v>
      </c>
      <c r="B8" s="1" t="s">
        <v>81</v>
      </c>
      <c r="C8" s="1" t="s">
        <v>77</v>
      </c>
      <c r="D8" s="1" t="s">
        <v>62</v>
      </c>
      <c r="E8" s="1" t="s">
        <v>82</v>
      </c>
    </row>
    <row r="9" spans="1:5" ht="30" x14ac:dyDescent="0.25">
      <c r="A9" s="1" t="s">
        <v>83</v>
      </c>
      <c r="B9" s="1" t="s">
        <v>81</v>
      </c>
      <c r="C9" s="1" t="s">
        <v>66</v>
      </c>
      <c r="D9" s="1" t="s">
        <v>62</v>
      </c>
      <c r="E9" s="4" t="s">
        <v>84</v>
      </c>
    </row>
    <row r="10" spans="1:5" x14ac:dyDescent="0.25">
      <c r="A10" s="1" t="s">
        <v>85</v>
      </c>
      <c r="B10" s="1" t="s">
        <v>86</v>
      </c>
      <c r="C10" s="1" t="s">
        <v>77</v>
      </c>
      <c r="D10" s="1" t="s">
        <v>62</v>
      </c>
      <c r="E10" s="1" t="s">
        <v>87</v>
      </c>
    </row>
    <row r="11" spans="1:5" x14ac:dyDescent="0.25">
      <c r="A11" s="1" t="s">
        <v>88</v>
      </c>
      <c r="B11" s="1" t="s">
        <v>89</v>
      </c>
      <c r="C11" s="1" t="s">
        <v>62</v>
      </c>
      <c r="D11" s="1" t="s">
        <v>62</v>
      </c>
      <c r="E11" s="1" t="s">
        <v>90</v>
      </c>
    </row>
    <row r="12" spans="1:5" x14ac:dyDescent="0.25">
      <c r="A12" s="1" t="s">
        <v>91</v>
      </c>
      <c r="B12" s="1" t="s">
        <v>86</v>
      </c>
      <c r="C12" s="1" t="s">
        <v>92</v>
      </c>
      <c r="D12" s="1" t="s">
        <v>62</v>
      </c>
      <c r="E12" s="1" t="s">
        <v>96</v>
      </c>
    </row>
    <row r="13" spans="1:5" x14ac:dyDescent="0.25">
      <c r="A13" s="1" t="s">
        <v>93</v>
      </c>
      <c r="B13" s="1" t="s">
        <v>94</v>
      </c>
      <c r="C13" s="1" t="s">
        <v>66</v>
      </c>
      <c r="D13" s="1" t="s">
        <v>66</v>
      </c>
      <c r="E13" s="1" t="s">
        <v>95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0989-853C-4BC7-820A-87116F0D1AE0}">
  <dimension ref="A1:G23"/>
  <sheetViews>
    <sheetView workbookViewId="0">
      <selection activeCell="A14" sqref="A14:G23"/>
    </sheetView>
  </sheetViews>
  <sheetFormatPr baseColWidth="10" defaultRowHeight="15" x14ac:dyDescent="0.25"/>
  <cols>
    <col min="1" max="1" width="19.5703125" style="1" bestFit="1" customWidth="1"/>
    <col min="2" max="2" width="13.28515625" style="1" bestFit="1" customWidth="1"/>
    <col min="3" max="3" width="62.42578125" style="1" customWidth="1"/>
    <col min="4" max="4" width="4" style="1" customWidth="1"/>
    <col min="5" max="5" width="5.5703125" style="1" customWidth="1"/>
    <col min="6" max="6" width="3.140625" style="1" customWidth="1"/>
    <col min="7" max="7" width="20.7109375" style="1" customWidth="1"/>
    <col min="8" max="16384" width="11.42578125" style="1"/>
  </cols>
  <sheetData>
    <row r="1" spans="1:7" x14ac:dyDescent="0.25">
      <c r="A1" s="1" t="s">
        <v>120</v>
      </c>
    </row>
    <row r="2" spans="1:7" x14ac:dyDescent="0.25">
      <c r="A2" s="1" t="s">
        <v>121</v>
      </c>
      <c r="B2" s="1" t="s">
        <v>123</v>
      </c>
      <c r="C2" s="1" t="s">
        <v>57</v>
      </c>
    </row>
    <row r="3" spans="1:7" x14ac:dyDescent="0.25">
      <c r="A3" s="1">
        <v>0</v>
      </c>
      <c r="B3" s="1">
        <v>1.9</v>
      </c>
      <c r="C3" s="9" t="s">
        <v>125</v>
      </c>
    </row>
    <row r="4" spans="1:7" x14ac:dyDescent="0.25">
      <c r="A4" s="1">
        <v>1</v>
      </c>
      <c r="B4" s="1">
        <v>12.9</v>
      </c>
      <c r="C4" s="9"/>
    </row>
    <row r="5" spans="1:7" x14ac:dyDescent="0.25">
      <c r="A5" s="1">
        <v>2</v>
      </c>
      <c r="B5" s="1">
        <v>16.2</v>
      </c>
      <c r="C5" s="1" t="s">
        <v>126</v>
      </c>
    </row>
    <row r="6" spans="1:7" x14ac:dyDescent="0.25">
      <c r="A6" s="1">
        <v>3</v>
      </c>
      <c r="B6" s="1">
        <v>16.7</v>
      </c>
      <c r="C6" s="1" t="s">
        <v>127</v>
      </c>
    </row>
    <row r="7" spans="1:7" ht="30" x14ac:dyDescent="0.25">
      <c r="A7" s="1">
        <v>4</v>
      </c>
      <c r="B7" s="1">
        <v>9.5</v>
      </c>
      <c r="C7" s="4" t="s">
        <v>128</v>
      </c>
    </row>
    <row r="8" spans="1:7" ht="60" x14ac:dyDescent="0.25">
      <c r="A8" s="1">
        <v>5</v>
      </c>
      <c r="B8" s="1">
        <v>4.4000000000000004</v>
      </c>
      <c r="C8" s="4" t="s">
        <v>129</v>
      </c>
    </row>
    <row r="9" spans="1:7" ht="45" x14ac:dyDescent="0.25">
      <c r="A9" s="1">
        <v>6</v>
      </c>
      <c r="B9" s="1">
        <v>3.2</v>
      </c>
      <c r="C9" s="4" t="s">
        <v>130</v>
      </c>
    </row>
    <row r="10" spans="1:7" x14ac:dyDescent="0.25">
      <c r="A10" s="1" t="s">
        <v>122</v>
      </c>
      <c r="B10" s="1">
        <v>1.9</v>
      </c>
      <c r="C10" s="1" t="s">
        <v>131</v>
      </c>
    </row>
    <row r="13" spans="1:7" x14ac:dyDescent="0.25">
      <c r="A13" s="1" t="s">
        <v>124</v>
      </c>
    </row>
    <row r="14" spans="1:7" x14ac:dyDescent="0.25">
      <c r="A14" s="10" t="s">
        <v>132</v>
      </c>
      <c r="B14" s="9"/>
      <c r="C14" s="9"/>
      <c r="D14" s="9"/>
      <c r="E14" s="9"/>
      <c r="F14" s="9"/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9"/>
      <c r="B16" s="9"/>
      <c r="C16" s="9"/>
      <c r="D16" s="9"/>
      <c r="E16" s="9"/>
      <c r="F16" s="9"/>
      <c r="G16" s="9"/>
    </row>
    <row r="17" spans="1:7" x14ac:dyDescent="0.25">
      <c r="A17" s="9"/>
      <c r="B17" s="9"/>
      <c r="C17" s="9"/>
      <c r="D17" s="9"/>
      <c r="E17" s="9"/>
      <c r="F17" s="9"/>
      <c r="G17" s="9"/>
    </row>
    <row r="18" spans="1:7" x14ac:dyDescent="0.25">
      <c r="A18" s="9"/>
      <c r="B18" s="9"/>
      <c r="C18" s="9"/>
      <c r="D18" s="9"/>
      <c r="E18" s="9"/>
      <c r="F18" s="9"/>
      <c r="G18" s="9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x14ac:dyDescent="0.25">
      <c r="A20" s="9"/>
      <c r="B20" s="9"/>
      <c r="C20" s="9"/>
      <c r="D20" s="9"/>
      <c r="E20" s="9"/>
      <c r="F20" s="9"/>
      <c r="G20" s="9"/>
    </row>
    <row r="21" spans="1:7" x14ac:dyDescent="0.25">
      <c r="A21" s="9"/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3" spans="1:7" x14ac:dyDescent="0.25">
      <c r="A23" s="9"/>
      <c r="B23" s="9"/>
      <c r="C23" s="9"/>
      <c r="D23" s="9"/>
      <c r="E23" s="9"/>
      <c r="F23" s="9"/>
      <c r="G23" s="9"/>
    </row>
  </sheetData>
  <mergeCells count="2">
    <mergeCell ref="A14:G23"/>
    <mergeCell ref="C3:C4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C2FE-7988-41B1-9C69-DC266D222172}">
  <dimension ref="A1:D15"/>
  <sheetViews>
    <sheetView workbookViewId="0">
      <selection activeCell="D4" sqref="D4"/>
    </sheetView>
  </sheetViews>
  <sheetFormatPr baseColWidth="10" defaultRowHeight="15" x14ac:dyDescent="0.25"/>
  <cols>
    <col min="1" max="1" width="20.7109375" style="1" bestFit="1" customWidth="1"/>
    <col min="2" max="2" width="7" style="1" bestFit="1" customWidth="1"/>
    <col min="3" max="3" width="68.28515625" style="1" bestFit="1" customWidth="1"/>
    <col min="4" max="4" width="53.28515625" style="1" bestFit="1" customWidth="1"/>
    <col min="5" max="16384" width="11.42578125" style="1"/>
  </cols>
  <sheetData>
    <row r="1" spans="1:4" x14ac:dyDescent="0.25">
      <c r="A1" s="1" t="s">
        <v>97</v>
      </c>
      <c r="B1" s="1" t="s">
        <v>98</v>
      </c>
      <c r="C1" s="1" t="s">
        <v>99</v>
      </c>
      <c r="D1" s="1" t="s">
        <v>57</v>
      </c>
    </row>
    <row r="2" spans="1:4" x14ac:dyDescent="0.25">
      <c r="A2" s="1" t="s">
        <v>25</v>
      </c>
      <c r="B2" s="1">
        <v>34</v>
      </c>
      <c r="C2" s="1" t="s">
        <v>100</v>
      </c>
      <c r="D2" s="1" t="s">
        <v>101</v>
      </c>
    </row>
    <row r="3" spans="1:4" x14ac:dyDescent="0.25">
      <c r="A3" s="1" t="s">
        <v>102</v>
      </c>
      <c r="B3" s="1">
        <v>10</v>
      </c>
      <c r="C3" s="1" t="s">
        <v>104</v>
      </c>
      <c r="D3" s="1" t="s">
        <v>103</v>
      </c>
    </row>
    <row r="4" spans="1:4" x14ac:dyDescent="0.25">
      <c r="A4" s="1" t="s">
        <v>40</v>
      </c>
      <c r="B4" s="1">
        <v>10</v>
      </c>
      <c r="C4" s="1" t="s">
        <v>105</v>
      </c>
    </row>
    <row r="5" spans="1:4" x14ac:dyDescent="0.25">
      <c r="A5" s="1" t="s">
        <v>44</v>
      </c>
      <c r="B5" s="1">
        <v>10</v>
      </c>
      <c r="C5" s="1" t="s">
        <v>106</v>
      </c>
      <c r="D5" s="1" t="s">
        <v>107</v>
      </c>
    </row>
    <row r="6" spans="1:4" x14ac:dyDescent="0.25">
      <c r="A6" s="1" t="s">
        <v>46</v>
      </c>
      <c r="B6" s="1">
        <v>12</v>
      </c>
      <c r="C6" s="1" t="s">
        <v>108</v>
      </c>
    </row>
    <row r="8" spans="1:4" x14ac:dyDescent="0.25">
      <c r="A8" s="9" t="s">
        <v>52</v>
      </c>
      <c r="C8" s="1" t="s">
        <v>109</v>
      </c>
      <c r="D8" s="10" t="s">
        <v>119</v>
      </c>
    </row>
    <row r="9" spans="1:4" x14ac:dyDescent="0.25">
      <c r="A9" s="9"/>
      <c r="C9" s="1" t="s">
        <v>111</v>
      </c>
      <c r="D9" s="9"/>
    </row>
    <row r="10" spans="1:4" x14ac:dyDescent="0.25">
      <c r="A10" s="9"/>
      <c r="C10" s="1" t="s">
        <v>110</v>
      </c>
      <c r="D10" s="9"/>
    </row>
    <row r="11" spans="1:4" x14ac:dyDescent="0.25">
      <c r="A11" s="9"/>
      <c r="C11" s="1" t="s">
        <v>112</v>
      </c>
      <c r="D11" s="9"/>
    </row>
    <row r="12" spans="1:4" x14ac:dyDescent="0.25">
      <c r="A12" s="9"/>
      <c r="C12" s="1" t="s">
        <v>113</v>
      </c>
      <c r="D12" s="9"/>
    </row>
    <row r="13" spans="1:4" x14ac:dyDescent="0.25">
      <c r="A13" s="9"/>
      <c r="C13" s="1" t="s">
        <v>114</v>
      </c>
      <c r="D13" s="9"/>
    </row>
    <row r="15" spans="1:4" ht="30" x14ac:dyDescent="0.25">
      <c r="A15" s="1" t="s">
        <v>115</v>
      </c>
      <c r="C15" s="1" t="s">
        <v>116</v>
      </c>
      <c r="D15" s="4" t="s">
        <v>117</v>
      </c>
    </row>
  </sheetData>
  <mergeCells count="2">
    <mergeCell ref="A8:A13"/>
    <mergeCell ref="D8:D1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1E40-E7C0-4CA1-B6A4-8E5DEDB8CFC5}">
  <dimension ref="A1:BB54"/>
  <sheetViews>
    <sheetView topLeftCell="AI1" workbookViewId="0"/>
  </sheetViews>
  <sheetFormatPr baseColWidth="10" defaultRowHeight="15" x14ac:dyDescent="0.25"/>
  <sheetData>
    <row r="1" spans="1:54" x14ac:dyDescent="0.25">
      <c r="A1">
        <v>0</v>
      </c>
      <c r="B1">
        <f>_xlfn.HYPGEOM.DIST(A1,'Hypergeometric Calculator'!C$3,'Hypergeometric Calculator'!C$4,'Hypergeometric Calculator'!C$2,FALSE)</f>
        <v>0.22728232252811062</v>
      </c>
      <c r="C1">
        <v>8</v>
      </c>
      <c r="F1">
        <f>_xlfn.HYPGEOM.DIST($A1,$C$1,'Benchmarks by Card Role'!D$2,99,FALSE)</f>
        <v>5.5141958796403011E-2</v>
      </c>
      <c r="G1">
        <f>_xlfn.HYPGEOM.DIST($A1,$C$1,'Benchmarks by Card Role'!E$2,99,FALSE)</f>
        <v>4.8840020648242645E-2</v>
      </c>
      <c r="H1">
        <f>_xlfn.HYPGEOM.DIST($A1,$C$1,'Benchmarks by Card Role'!F$2,99,FALSE)</f>
        <v>4.3177409558591333E-2</v>
      </c>
      <c r="I1">
        <f>_xlfn.HYPGEOM.DIST($A1,$C$1,'Benchmarks by Card Role'!G$2,99,FALSE)</f>
        <v>3.8097714316404095E-2</v>
      </c>
      <c r="J1">
        <f>_xlfn.HYPGEOM.DIST($A1,$C$1,'Benchmarks by Card Role'!H$2,99,FALSE)</f>
        <v>3.3548733502505111E-2</v>
      </c>
      <c r="K1">
        <f>_xlfn.HYPGEOM.DIST($A1,$C$1,'Benchmarks by Card Role'!I$2,99,FALSE)</f>
        <v>2.9482220350686303E-2</v>
      </c>
      <c r="L1">
        <f>_xlfn.HYPGEOM.DIST($A1,$C$1,'Benchmarks by Card Role'!J$2,99,FALSE)</f>
        <v>2.5853639384447989E-2</v>
      </c>
      <c r="M1">
        <f>_xlfn.HYPGEOM.DIST($A1,$C$1,'Benchmarks by Card Role'!K$2,99,FALSE)</f>
        <v>2.2621934461391983E-2</v>
      </c>
      <c r="N1">
        <f>_xlfn.HYPGEOM.DIST($A1,$C$1,'Benchmarks by Card Role'!L$2,99,FALSE)</f>
        <v>1.9749307863119996E-2</v>
      </c>
      <c r="P1">
        <f>_xlfn.HYPGEOM.DIST($A1,$C$1,'Benchmarks by Card Role'!D$12,99,FALSE)</f>
        <v>0.54369403101467617</v>
      </c>
      <c r="Q1">
        <f>_xlfn.HYPGEOM.DIST($A1,$C$1,'Benchmarks by Card Role'!E$12,99,FALSE)</f>
        <v>0.49641628918731284</v>
      </c>
      <c r="R1">
        <f>_xlfn.HYPGEOM.DIST($A1,$C$1,'Benchmarks by Card Role'!F$12,99,FALSE)</f>
        <v>0.45277529673128536</v>
      </c>
      <c r="S1">
        <f>_xlfn.HYPGEOM.DIST($A1,$C$1,'Benchmarks by Card Role'!G$12,99,FALSE)</f>
        <v>0.41252860368850436</v>
      </c>
      <c r="T1">
        <f>_xlfn.HYPGEOM.DIST($A1,$C$1,'Benchmarks by Card Role'!H$12,99,FALSE)</f>
        <v>0.37544738088504365</v>
      </c>
      <c r="U1">
        <f>_xlfn.HYPGEOM.DIST($A1,$C$1,'Benchmarks by Card Role'!I$12,99,FALSE)</f>
        <v>0.34131580080458496</v>
      </c>
      <c r="V1">
        <f>_xlfn.HYPGEOM.DIST($A1,$C$1,'Benchmarks by Card Role'!J$12,99,FALSE)</f>
        <v>0.30993043981105978</v>
      </c>
      <c r="W1">
        <f>_xlfn.HYPGEOM.DIST($A1,$C$1,'Benchmarks by Card Role'!K$12,99,FALSE)</f>
        <v>0.28109970122398453</v>
      </c>
      <c r="X1">
        <f>_xlfn.HYPGEOM.DIST($A1,$C$1,'Benchmarks by Card Role'!L$12,99,FALSE)</f>
        <v>0.25464325875584476</v>
      </c>
      <c r="Z1">
        <f>_xlfn.HYPGEOM.DIST($A1,$C$1,'Benchmarks by Card Role'!D$22,99,FALSE)</f>
        <v>0.54369403101467617</v>
      </c>
      <c r="AA1">
        <f>_xlfn.HYPGEOM.DIST($A1,$C$1,'Benchmarks by Card Role'!E$22,99,FALSE)</f>
        <v>0.49641628918731284</v>
      </c>
      <c r="AB1">
        <f>_xlfn.HYPGEOM.DIST($A1,$C$1,'Benchmarks by Card Role'!F$22,99,FALSE)</f>
        <v>0.45277529673128536</v>
      </c>
      <c r="AC1">
        <f>_xlfn.HYPGEOM.DIST($A1,$C$1,'Benchmarks by Card Role'!G$22,99,FALSE)</f>
        <v>0.41252860368850436</v>
      </c>
      <c r="AD1">
        <f>_xlfn.HYPGEOM.DIST($A1,$C$1,'Benchmarks by Card Role'!H$22,99,FALSE)</f>
        <v>0.37544738088504365</v>
      </c>
      <c r="AE1">
        <f>_xlfn.HYPGEOM.DIST($A1,$C$1,'Benchmarks by Card Role'!I$22,99,FALSE)</f>
        <v>0.34131580080458496</v>
      </c>
      <c r="AF1">
        <f>_xlfn.HYPGEOM.DIST($A1,$C$1,'Benchmarks by Card Role'!J$22,99,FALSE)</f>
        <v>0.30993043981105978</v>
      </c>
      <c r="AG1">
        <f>_xlfn.HYPGEOM.DIST($A1,$C$1,'Benchmarks by Card Role'!K$22,99,FALSE)</f>
        <v>0.28109970122398453</v>
      </c>
      <c r="AH1">
        <f>_xlfn.HYPGEOM.DIST($A1,$C$1,'Benchmarks by Card Role'!L$22,99,FALSE)</f>
        <v>0.25464325875584476</v>
      </c>
      <c r="AJ1">
        <f>_xlfn.HYPGEOM.DIST($A1,$C$1,'Benchmarks by Card Role'!D$32,99,FALSE)</f>
        <v>1</v>
      </c>
      <c r="AK1">
        <f>_xlfn.HYPGEOM.DIST($A1,$C$1,'Benchmarks by Card Role'!E$32,99,FALSE)</f>
        <v>0.91919191919191923</v>
      </c>
      <c r="AL1">
        <f>_xlfn.HYPGEOM.DIST($A1,$C$1,'Benchmarks by Card Role'!F$32,99,FALSE)</f>
        <v>0.8441558441558441</v>
      </c>
      <c r="AM1">
        <f>_xlfn.HYPGEOM.DIST($A1,$C$1,'Benchmarks by Card Role'!G$32,99,FALSE)</f>
        <v>0.77453474360690822</v>
      </c>
      <c r="AN1">
        <f>_xlfn.HYPGEOM.DIST($A1,$C$1,'Benchmarks by Card Role'!H$32,99,FALSE)</f>
        <v>0.70999018163966598</v>
      </c>
      <c r="AO1">
        <f>_xlfn.HYPGEOM.DIST($A1,$C$1,'Benchmarks by Card Role'!I$32,99,FALSE)</f>
        <v>0.65020153476474696</v>
      </c>
      <c r="AP1">
        <f>_xlfn.HYPGEOM.DIST($A1,$C$1,'Benchmarks by Card Role'!J$32,99,FALSE)</f>
        <v>0.59486523393370461</v>
      </c>
      <c r="AQ1">
        <f>_xlfn.HYPGEOM.DIST($A1,$C$1,'Benchmarks by Card Role'!K$32,99,FALSE)</f>
        <v>0.54369403101467617</v>
      </c>
      <c r="AR1">
        <f>_xlfn.HYPGEOM.DIST($A1,$C$1,'Benchmarks by Card Role'!L$32,99,FALSE)</f>
        <v>0.49641628918731284</v>
      </c>
      <c r="AT1">
        <f>_xlfn.HYPGEOM.DIST($A1,$C$1,'Benchmarks by Card Role'!D$42,99,FALSE)</f>
        <v>0.45277529673128536</v>
      </c>
      <c r="AU1">
        <f>_xlfn.HYPGEOM.DIST($A1,$C$1,'Benchmarks by Card Role'!E$42,99,FALSE)</f>
        <v>0.41252860368850436</v>
      </c>
      <c r="AV1">
        <f>_xlfn.HYPGEOM.DIST($A1,$C$1,'Benchmarks by Card Role'!F$42,99,FALSE)</f>
        <v>0.37544738088504365</v>
      </c>
      <c r="AW1">
        <f>_xlfn.HYPGEOM.DIST($A1,$C$1,'Benchmarks by Card Role'!G$42,99,FALSE)</f>
        <v>0.34131580080458496</v>
      </c>
      <c r="AX1">
        <f>_xlfn.HYPGEOM.DIST($A1,$C$1,'Benchmarks by Card Role'!H$42,99,FALSE)</f>
        <v>0.30993043981105978</v>
      </c>
      <c r="AY1">
        <f>_xlfn.HYPGEOM.DIST($A1,$C$1,'Benchmarks by Card Role'!I$42,99,FALSE)</f>
        <v>0.28109970122398453</v>
      </c>
      <c r="AZ1">
        <f>_xlfn.HYPGEOM.DIST($A1,$C$1,'Benchmarks by Card Role'!J$42,99,FALSE)</f>
        <v>0.25464325875584476</v>
      </c>
      <c r="BA1">
        <f>_xlfn.HYPGEOM.DIST($A1,$C$1,'Benchmarks by Card Role'!K$42,99,FALSE)</f>
        <v>0.2303915198267168</v>
      </c>
      <c r="BB1">
        <f>_xlfn.HYPGEOM.DIST($A1,$C$1,'Benchmarks by Card Role'!L$42,99,FALSE)</f>
        <v>0.20818510827715372</v>
      </c>
    </row>
    <row r="2" spans="1:54" x14ac:dyDescent="0.25">
      <c r="A2">
        <v>1</v>
      </c>
      <c r="B2">
        <f>_xlfn.HYPGEOM.DIST(A2,'Hypergeometric Calculator'!C$3,'Hypergeometric Calculator'!C$4,'Hypergeometric Calculator'!C$2,FALSE)</f>
        <v>0.38372340167083607</v>
      </c>
      <c r="C2">
        <v>9</v>
      </c>
      <c r="F2">
        <f>_xlfn.HYPGEOM.DIST($A2,$C$1,'Benchmarks by Card Role'!D$2,99,FALSE)</f>
        <v>0.2030624514407223</v>
      </c>
      <c r="G2">
        <f>_xlfn.HYPGEOM.DIST($A2,$C$1,'Benchmarks by Card Role'!E$2,99,FALSE)</f>
        <v>0.18905814444481034</v>
      </c>
      <c r="H2">
        <f>_xlfn.HYPGEOM.DIST($A2,$C$1,'Benchmarks by Card Role'!F$2,99,FALSE)</f>
        <v>0.17554094377919097</v>
      </c>
      <c r="I2">
        <f>_xlfn.HYPGEOM.DIST($A2,$C$1,'Benchmarks by Card Role'!G$2,99,FALSE)</f>
        <v>0.16255024774999091</v>
      </c>
      <c r="J2">
        <f>_xlfn.HYPGEOM.DIST($A2,$C$1,'Benchmarks by Card Role'!H$2,99,FALSE)</f>
        <v>0.15011636685866694</v>
      </c>
      <c r="K2">
        <f>_xlfn.HYPGEOM.DIST($A2,$C$1,'Benchmarks by Card Role'!I$2,99,FALSE)</f>
        <v>0.13826144716183938</v>
      </c>
      <c r="L2">
        <f>_xlfn.HYPGEOM.DIST($A2,$C$1,'Benchmarks by Card Role'!J$2,99,FALSE)</f>
        <v>0.12700033381834105</v>
      </c>
      <c r="M2">
        <f>_xlfn.HYPGEOM.DIST($A2,$C$1,'Benchmarks by Card Role'!K$2,99,FALSE)</f>
        <v>0.11634137723001589</v>
      </c>
      <c r="N2">
        <f>_xlfn.HYPGEOM.DIST($A2,$C$1,'Benchmarks by Card Role'!L$2,99,FALSE)</f>
        <v>0.10628718413606399</v>
      </c>
      <c r="P2">
        <f>_xlfn.HYPGEOM.DIST($A2,$C$1,'Benchmarks by Card Role'!D$12,99,FALSE)</f>
        <v>0.35819842043319833</v>
      </c>
      <c r="Q2">
        <f>_xlfn.HYPGEOM.DIST($A2,$C$1,'Benchmarks by Card Role'!E$12,99,FALSE)</f>
        <v>0.37822193461890519</v>
      </c>
      <c r="R2">
        <f>_xlfn.HYPGEOM.DIST($A2,$C$1,'Benchmarks by Card Role'!F$12,99,FALSE)</f>
        <v>0.39276893210424768</v>
      </c>
      <c r="S2">
        <f>_xlfn.HYPGEOM.DIST($A2,$C$1,'Benchmarks by Card Role'!G$12,99,FALSE)</f>
        <v>0.40246693042780929</v>
      </c>
      <c r="T2">
        <f>_xlfn.HYPGEOM.DIST($A2,$C$1,'Benchmarks by Card Role'!H$12,99,FALSE)</f>
        <v>0.40789345083807205</v>
      </c>
      <c r="U2">
        <f>_xlfn.HYPGEOM.DIST($A2,$C$1,'Benchmarks by Card Role'!I$12,99,FALSE)</f>
        <v>0.40957896096550211</v>
      </c>
      <c r="V2">
        <f>_xlfn.HYPGEOM.DIST($A2,$C$1,'Benchmarks by Card Role'!J$12,99,FALSE)</f>
        <v>0.40800969291582562</v>
      </c>
      <c r="W2">
        <f>_xlfn.HYPGEOM.DIST($A2,$C$1,'Benchmarks by Card Role'!K$12,99,FALSE)</f>
        <v>0.40363034021905481</v>
      </c>
      <c r="X2">
        <f>_xlfn.HYPGEOM.DIST($A2,$C$1,'Benchmarks by Card Role'!L$12,99,FALSE)</f>
        <v>0.39684663702209588</v>
      </c>
      <c r="Z2">
        <f>_xlfn.HYPGEOM.DIST($A2,$C$1,'Benchmarks by Card Role'!D$22,99,FALSE)</f>
        <v>0.35819842043319833</v>
      </c>
      <c r="AA2">
        <f>_xlfn.HYPGEOM.DIST($A2,$C$1,'Benchmarks by Card Role'!E$22,99,FALSE)</f>
        <v>0.37822193461890519</v>
      </c>
      <c r="AB2">
        <f>_xlfn.HYPGEOM.DIST($A2,$C$1,'Benchmarks by Card Role'!F$22,99,FALSE)</f>
        <v>0.39276893210424768</v>
      </c>
      <c r="AC2">
        <f>_xlfn.HYPGEOM.DIST($A2,$C$1,'Benchmarks by Card Role'!G$22,99,FALSE)</f>
        <v>0.40246693042780929</v>
      </c>
      <c r="AD2">
        <f>_xlfn.HYPGEOM.DIST($A2,$C$1,'Benchmarks by Card Role'!H$22,99,FALSE)</f>
        <v>0.40789345083807205</v>
      </c>
      <c r="AE2">
        <f>_xlfn.HYPGEOM.DIST($A2,$C$1,'Benchmarks by Card Role'!I$22,99,FALSE)</f>
        <v>0.40957896096550211</v>
      </c>
      <c r="AF2">
        <f>_xlfn.HYPGEOM.DIST($A2,$C$1,'Benchmarks by Card Role'!J$22,99,FALSE)</f>
        <v>0.40800969291582562</v>
      </c>
      <c r="AG2">
        <f>_xlfn.HYPGEOM.DIST($A2,$C$1,'Benchmarks by Card Role'!K$22,99,FALSE)</f>
        <v>0.40363034021905481</v>
      </c>
      <c r="AH2">
        <f>_xlfn.HYPGEOM.DIST($A2,$C$1,'Benchmarks by Card Role'!L$22,99,FALSE)</f>
        <v>0.39684663702209588</v>
      </c>
      <c r="AJ2">
        <f>_xlfn.HYPGEOM.DIST($A2,$C$1,'Benchmarks by Card Role'!D$32,99,FALSE)</f>
        <v>0</v>
      </c>
      <c r="AK2">
        <f>_xlfn.HYPGEOM.DIST($A2,$C$1,'Benchmarks by Card Role'!E$32,99,FALSE)</f>
        <v>8.0808080808080815E-2</v>
      </c>
      <c r="AL2">
        <f>_xlfn.HYPGEOM.DIST($A2,$C$1,'Benchmarks by Card Role'!F$32,99,FALSE)</f>
        <v>0.15007215007215002</v>
      </c>
      <c r="AM2">
        <f>_xlfn.HYPGEOM.DIST($A2,$C$1,'Benchmarks by Card Role'!G$32,99,FALSE)</f>
        <v>0.20886330164680675</v>
      </c>
      <c r="AN2">
        <f>_xlfn.HYPGEOM.DIST($A2,$C$1,'Benchmarks by Card Role'!H$32,99,FALSE)</f>
        <v>0.25817824786896942</v>
      </c>
      <c r="AO2">
        <f>_xlfn.HYPGEOM.DIST($A2,$C$1,'Benchmarks by Card Role'!I$32,99,FALSE)</f>
        <v>0.2989432343745963</v>
      </c>
      <c r="AP2">
        <f>_xlfn.HYPGEOM.DIST($A2,$C$1,'Benchmarks by Card Role'!J$32,99,FALSE)</f>
        <v>0.33201780498625388</v>
      </c>
      <c r="AQ2">
        <f>_xlfn.HYPGEOM.DIST($A2,$C$1,'Benchmarks by Card Role'!K$32,99,FALSE)</f>
        <v>0.35819842043319833</v>
      </c>
      <c r="AR2">
        <f>_xlfn.HYPGEOM.DIST($A2,$C$1,'Benchmarks by Card Role'!L$32,99,FALSE)</f>
        <v>0.37822193461890519</v>
      </c>
      <c r="AT2">
        <f>_xlfn.HYPGEOM.DIST($A2,$C$1,'Benchmarks by Card Role'!D$42,99,FALSE)</f>
        <v>0.39276893210424768</v>
      </c>
      <c r="AU2">
        <f>_xlfn.HYPGEOM.DIST($A2,$C$1,'Benchmarks by Card Role'!E$42,99,FALSE)</f>
        <v>0.40246693042780929</v>
      </c>
      <c r="AV2">
        <f>_xlfn.HYPGEOM.DIST($A2,$C$1,'Benchmarks by Card Role'!F$42,99,FALSE)</f>
        <v>0.40789345083807205</v>
      </c>
      <c r="AW2">
        <f>_xlfn.HYPGEOM.DIST($A2,$C$1,'Benchmarks by Card Role'!G$42,99,FALSE)</f>
        <v>0.40957896096550211</v>
      </c>
      <c r="AX2">
        <f>_xlfn.HYPGEOM.DIST($A2,$C$1,'Benchmarks by Card Role'!H$42,99,FALSE)</f>
        <v>0.40800969291582562</v>
      </c>
      <c r="AY2">
        <f>_xlfn.HYPGEOM.DIST($A2,$C$1,'Benchmarks by Card Role'!I$42,99,FALSE)</f>
        <v>0.40363034021905481</v>
      </c>
      <c r="AZ2">
        <f>_xlfn.HYPGEOM.DIST($A2,$C$1,'Benchmarks by Card Role'!J$42,99,FALSE)</f>
        <v>0.39684663702209588</v>
      </c>
      <c r="BA2">
        <f>_xlfn.HYPGEOM.DIST($A2,$C$1,'Benchmarks by Card Role'!K$42,99,FALSE)</f>
        <v>0.38802782286604931</v>
      </c>
      <c r="BB2">
        <f>_xlfn.HYPGEOM.DIST($A2,$C$1,'Benchmarks by Card Role'!L$42,99,FALSE)</f>
        <v>0.37750899634257223</v>
      </c>
    </row>
    <row r="3" spans="1:54" x14ac:dyDescent="0.25">
      <c r="A3">
        <v>2</v>
      </c>
      <c r="B3">
        <f>_xlfn.HYPGEOM.DIST(A3,'Hypergeometric Calculator'!C$3,'Hypergeometric Calculator'!C$4,'Hypergeometric Calculator'!C$2,FALSE)</f>
        <v>0.26565466269519417</v>
      </c>
      <c r="C3">
        <v>10</v>
      </c>
      <c r="F3">
        <f>_xlfn.HYPGEOM.DIST($A3,$C$1,'Benchmarks by Card Role'!D$2,99,FALSE)</f>
        <v>0.31093937876860583</v>
      </c>
      <c r="G3">
        <f>_xlfn.HYPGEOM.DIST($A3,$C$1,'Benchmarks by Card Role'!E$2,99,FALSE)</f>
        <v>0.30459367716108326</v>
      </c>
      <c r="H3">
        <f>_xlfn.HYPGEOM.DIST($A3,$C$1,'Benchmarks by Card Role'!F$2,99,FALSE)</f>
        <v>0.29728708220669442</v>
      </c>
      <c r="I3">
        <f>_xlfn.HYPGEOM.DIST($A3,$C$1,'Benchmarks by Card Role'!G$2,99,FALSE)</f>
        <v>0.28912626034219679</v>
      </c>
      <c r="J3">
        <f>_xlfn.HYPGEOM.DIST($A3,$C$1,'Benchmarks by Card Role'!H$2,99,FALSE)</f>
        <v>0.2802172181361785</v>
      </c>
      <c r="K3">
        <f>_xlfn.HYPGEOM.DIST($A3,$C$1,'Benchmarks by Card Role'!I$2,99,FALSE)</f>
        <v>0.27066435842699055</v>
      </c>
      <c r="L3">
        <f>_xlfn.HYPGEOM.DIST($A3,$C$1,'Benchmarks by Card Role'!J$2,99,FALSE)</f>
        <v>0.26056965042038926</v>
      </c>
      <c r="M3">
        <f>_xlfn.HYPGEOM.DIST($A3,$C$1,'Benchmarks by Card Role'!K$2,99,FALSE)</f>
        <v>0.25003190720485907</v>
      </c>
      <c r="N3">
        <f>_xlfn.HYPGEOM.DIST($A3,$C$1,'Benchmarks by Card Role'!L$2,99,FALSE)</f>
        <v>0.23914616430614397</v>
      </c>
      <c r="P3">
        <f>_xlfn.HYPGEOM.DIST($A3,$C$1,'Benchmarks by Card Role'!D$12,99,FALSE)</f>
        <v>8.7467056152292638E-2</v>
      </c>
      <c r="Q3">
        <f>_xlfn.HYPGEOM.DIST($A3,$C$1,'Benchmarks by Card Role'!E$12,99,FALSE)</f>
        <v>0.10901691056662557</v>
      </c>
      <c r="R3">
        <f>_xlfn.HYPGEOM.DIST($A3,$C$1,'Benchmarks by Card Role'!F$12,99,FALSE)</f>
        <v>0.13092297736808259</v>
      </c>
      <c r="S3">
        <f>_xlfn.HYPGEOM.DIST($A3,$C$1,'Benchmarks by Card Role'!G$12,99,FALSE)</f>
        <v>0.1527434735960963</v>
      </c>
      <c r="T3">
        <f>_xlfn.HYPGEOM.DIST($A3,$C$1,'Benchmarks by Card Role'!H$12,99,FALSE)</f>
        <v>0.17410086316259168</v>
      </c>
      <c r="U3">
        <f>_xlfn.HYPGEOM.DIST($A3,$C$1,'Benchmarks by Card Role'!I$12,99,FALSE)</f>
        <v>0.19467641971817065</v>
      </c>
      <c r="V3">
        <f>_xlfn.HYPGEOM.DIST($A3,$C$1,'Benchmarks by Card Role'!J$12,99,FALSE)</f>
        <v>0.21420508878080846</v>
      </c>
      <c r="W3">
        <f>_xlfn.HYPGEOM.DIST($A3,$C$1,'Benchmarks by Card Role'!K$12,99,FALSE)</f>
        <v>0.23247063898692388</v>
      </c>
      <c r="X3">
        <f>_xlfn.HYPGEOM.DIST($A3,$C$1,'Benchmarks by Card Role'!L$12,99,FALSE)</f>
        <v>0.2493010924882397</v>
      </c>
      <c r="Z3">
        <f>_xlfn.HYPGEOM.DIST($A3,$C$1,'Benchmarks by Card Role'!D$22,99,FALSE)</f>
        <v>8.7467056152292638E-2</v>
      </c>
      <c r="AA3">
        <f>_xlfn.HYPGEOM.DIST($A3,$C$1,'Benchmarks by Card Role'!E$22,99,FALSE)</f>
        <v>0.10901691056662557</v>
      </c>
      <c r="AB3">
        <f>_xlfn.HYPGEOM.DIST($A3,$C$1,'Benchmarks by Card Role'!F$22,99,FALSE)</f>
        <v>0.13092297736808259</v>
      </c>
      <c r="AC3">
        <f>_xlfn.HYPGEOM.DIST($A3,$C$1,'Benchmarks by Card Role'!G$22,99,FALSE)</f>
        <v>0.1527434735960963</v>
      </c>
      <c r="AD3">
        <f>_xlfn.HYPGEOM.DIST($A3,$C$1,'Benchmarks by Card Role'!H$22,99,FALSE)</f>
        <v>0.17410086316259168</v>
      </c>
      <c r="AE3">
        <f>_xlfn.HYPGEOM.DIST($A3,$C$1,'Benchmarks by Card Role'!I$22,99,FALSE)</f>
        <v>0.19467641971817065</v>
      </c>
      <c r="AF3">
        <f>_xlfn.HYPGEOM.DIST($A3,$C$1,'Benchmarks by Card Role'!J$22,99,FALSE)</f>
        <v>0.21420508878080846</v>
      </c>
      <c r="AG3">
        <f>_xlfn.HYPGEOM.DIST($A3,$C$1,'Benchmarks by Card Role'!K$22,99,FALSE)</f>
        <v>0.23247063898692388</v>
      </c>
      <c r="AH3">
        <f>_xlfn.HYPGEOM.DIST($A3,$C$1,'Benchmarks by Card Role'!L$22,99,FALSE)</f>
        <v>0.2493010924882397</v>
      </c>
      <c r="AJ3">
        <f>_xlfn.HYPGEOM.DIST($A3,$C$1,'Benchmarks by Card Role'!D$32,99,FALSE)</f>
        <v>0</v>
      </c>
      <c r="AK3">
        <f>_xlfn.HYPGEOM.DIST($A3,$C$1,'Benchmarks by Card Role'!E$32,99,FALSE)</f>
        <v>0</v>
      </c>
      <c r="AL3">
        <f>_xlfn.HYPGEOM.DIST($A3,$C$1,'Benchmarks by Card Role'!F$32,99,FALSE)</f>
        <v>5.7720057720057729E-3</v>
      </c>
      <c r="AM3">
        <f>_xlfn.HYPGEOM.DIST($A3,$C$1,'Benchmarks by Card Role'!G$32,99,FALSE)</f>
        <v>1.6244923461418301E-2</v>
      </c>
      <c r="AN3">
        <f>_xlfn.HYPGEOM.DIST($A3,$C$1,'Benchmarks by Card Role'!H$32,99,FALSE)</f>
        <v>3.0459231490159319E-2</v>
      </c>
      <c r="AO3">
        <f>_xlfn.HYPGEOM.DIST($A3,$C$1,'Benchmarks by Card Role'!I$32,99,FALSE)</f>
        <v>4.7559150923231229E-2</v>
      </c>
      <c r="AP3">
        <f>_xlfn.HYPGEOM.DIST($A3,$C$1,'Benchmarks by Card Role'!J$32,99,FALSE)</f>
        <v>6.6785190658154456E-2</v>
      </c>
      <c r="AQ3">
        <f>_xlfn.HYPGEOM.DIST($A3,$C$1,'Benchmarks by Card Role'!K$32,99,FALSE)</f>
        <v>8.7467056152292638E-2</v>
      </c>
      <c r="AR3">
        <f>_xlfn.HYPGEOM.DIST($A3,$C$1,'Benchmarks by Card Role'!L$32,99,FALSE)</f>
        <v>0.10901691056662557</v>
      </c>
      <c r="AT3">
        <f>_xlfn.HYPGEOM.DIST($A3,$C$1,'Benchmarks by Card Role'!D$42,99,FALSE)</f>
        <v>0.13092297736808259</v>
      </c>
      <c r="AU3">
        <f>_xlfn.HYPGEOM.DIST($A3,$C$1,'Benchmarks by Card Role'!E$42,99,FALSE)</f>
        <v>0.1527434735960963</v>
      </c>
      <c r="AV3">
        <f>_xlfn.HYPGEOM.DIST($A3,$C$1,'Benchmarks by Card Role'!F$42,99,FALSE)</f>
        <v>0.17410086316259168</v>
      </c>
      <c r="AW3">
        <f>_xlfn.HYPGEOM.DIST($A3,$C$1,'Benchmarks by Card Role'!G$42,99,FALSE)</f>
        <v>0.19467641971817065</v>
      </c>
      <c r="AX3">
        <f>_xlfn.HYPGEOM.DIST($A3,$C$1,'Benchmarks by Card Role'!H$42,99,FALSE)</f>
        <v>0.21420508878080846</v>
      </c>
      <c r="AY3">
        <f>_xlfn.HYPGEOM.DIST($A3,$C$1,'Benchmarks by Card Role'!I$42,99,FALSE)</f>
        <v>0.23247063898692388</v>
      </c>
      <c r="AZ3">
        <f>_xlfn.HYPGEOM.DIST($A3,$C$1,'Benchmarks by Card Role'!J$42,99,FALSE)</f>
        <v>0.2493010924882397</v>
      </c>
      <c r="BA3">
        <f>_xlfn.HYPGEOM.DIST($A3,$C$1,'Benchmarks by Card Role'!K$42,99,FALSE)</f>
        <v>0.26456442468139718</v>
      </c>
      <c r="BB3">
        <f>_xlfn.HYPGEOM.DIST($A3,$C$1,'Benchmarks by Card Role'!L$42,99,FALSE)</f>
        <v>0.27816452362084265</v>
      </c>
    </row>
    <row r="4" spans="1:54" x14ac:dyDescent="0.25">
      <c r="A4">
        <v>3</v>
      </c>
      <c r="B4">
        <f>_xlfn.HYPGEOM.DIST(A4,'Hypergeometric Calculator'!C$3,'Hypergeometric Calculator'!C$4,'Hypergeometric Calculator'!C$2,FALSE)</f>
        <v>9.8639705979650161E-2</v>
      </c>
      <c r="C4">
        <v>11</v>
      </c>
      <c r="F4">
        <f>_xlfn.HYPGEOM.DIST($A4,$C$1,'Benchmarks by Card Role'!D$2,99,FALSE)</f>
        <v>0.25831886851545754</v>
      </c>
      <c r="G4">
        <f>_xlfn.HYPGEOM.DIST($A4,$C$1,'Benchmarks by Card Role'!E$2,99,FALSE)</f>
        <v>0.26651946751594818</v>
      </c>
      <c r="H4">
        <f>_xlfn.HYPGEOM.DIST($A4,$C$1,'Benchmarks by Card Role'!F$2,99,FALSE)</f>
        <v>0.27369286933314751</v>
      </c>
      <c r="I4">
        <f>_xlfn.HYPGEOM.DIST($A4,$C$1,'Benchmarks by Card Role'!G$2,99,FALSE)</f>
        <v>0.27979960678277133</v>
      </c>
      <c r="J4">
        <f>_xlfn.HYPGEOM.DIST($A4,$C$1,'Benchmarks by Card Role'!H$2,99,FALSE)</f>
        <v>0.28481094302365706</v>
      </c>
      <c r="K4">
        <f>_xlfn.HYPGEOM.DIST($A4,$C$1,'Benchmarks by Card Role'!I$2,99,FALSE)</f>
        <v>0.28870864898879006</v>
      </c>
      <c r="L4">
        <f>_xlfn.HYPGEOM.DIST($A4,$C$1,'Benchmarks by Card Role'!J$2,99,FALSE)</f>
        <v>0.2914846936906052</v>
      </c>
      <c r="M4">
        <f>_xlfn.HYPGEOM.DIST($A4,$C$1,'Benchmarks by Card Role'!K$2,99,FALSE)</f>
        <v>0.2931408567229381</v>
      </c>
      <c r="N4">
        <f>_xlfn.HYPGEOM.DIST($A4,$C$1,'Benchmarks by Card Role'!L$2,99,FALSE)</f>
        <v>0.2936882719549137</v>
      </c>
      <c r="P4">
        <f>_xlfn.HYPGEOM.DIST($A4,$C$1,'Benchmarks by Card Role'!D$12,99,FALSE)</f>
        <v>1.0053684615206063E-2</v>
      </c>
      <c r="Q4">
        <f>_xlfn.HYPGEOM.DIST($A4,$C$1,'Benchmarks by Card Role'!E$12,99,FALSE)</f>
        <v>1.5211661939529176E-2</v>
      </c>
      <c r="R4">
        <f>_xlfn.HYPGEOM.DIST($A4,$C$1,'Benchmarks by Card Role'!F$12,99,FALSE)</f>
        <v>2.1563784507684196E-2</v>
      </c>
      <c r="S4">
        <f>_xlfn.HYPGEOM.DIST($A4,$C$1,'Benchmarks by Card Role'!G$12,99,FALSE)</f>
        <v>2.9093994970685037E-2</v>
      </c>
      <c r="T4">
        <f>_xlfn.HYPGEOM.DIST($A4,$C$1,'Benchmarks by Card Role'!H$12,99,FALSE)</f>
        <v>3.7756813697911507E-2</v>
      </c>
      <c r="U4">
        <f>_xlfn.HYPGEOM.DIST($A4,$C$1,'Benchmarks by Card Role'!I$12,99,FALSE)</f>
        <v>4.7482053589797742E-2</v>
      </c>
      <c r="V4">
        <f>_xlfn.HYPGEOM.DIST($A4,$C$1,'Benchmarks by Card Role'!J$12,99,FALSE)</f>
        <v>5.8179159915775103E-2</v>
      </c>
      <c r="W4">
        <f>_xlfn.HYPGEOM.DIST($A4,$C$1,'Benchmarks by Card Role'!K$12,99,FALSE)</f>
        <v>6.9741191696077218E-2</v>
      </c>
      <c r="X4">
        <f>_xlfn.HYPGEOM.DIST($A4,$C$1,'Benchmarks by Card Role'!L$12,99,FALSE)</f>
        <v>8.204846081891437E-2</v>
      </c>
      <c r="Z4">
        <f>_xlfn.HYPGEOM.DIST($A4,$C$1,'Benchmarks by Card Role'!D$22,99,FALSE)</f>
        <v>1.0053684615206063E-2</v>
      </c>
      <c r="AA4">
        <f>_xlfn.HYPGEOM.DIST($A4,$C$1,'Benchmarks by Card Role'!E$22,99,FALSE)</f>
        <v>1.5211661939529176E-2</v>
      </c>
      <c r="AB4">
        <f>_xlfn.HYPGEOM.DIST($A4,$C$1,'Benchmarks by Card Role'!F$22,99,FALSE)</f>
        <v>2.1563784507684196E-2</v>
      </c>
      <c r="AC4">
        <f>_xlfn.HYPGEOM.DIST($A4,$C$1,'Benchmarks by Card Role'!G$22,99,FALSE)</f>
        <v>2.9093994970685037E-2</v>
      </c>
      <c r="AD4">
        <f>_xlfn.HYPGEOM.DIST($A4,$C$1,'Benchmarks by Card Role'!H$22,99,FALSE)</f>
        <v>3.7756813697911507E-2</v>
      </c>
      <c r="AE4">
        <f>_xlfn.HYPGEOM.DIST($A4,$C$1,'Benchmarks by Card Role'!I$22,99,FALSE)</f>
        <v>4.7482053589797742E-2</v>
      </c>
      <c r="AF4">
        <f>_xlfn.HYPGEOM.DIST($A4,$C$1,'Benchmarks by Card Role'!J$22,99,FALSE)</f>
        <v>5.8179159915775103E-2</v>
      </c>
      <c r="AG4">
        <f>_xlfn.HYPGEOM.DIST($A4,$C$1,'Benchmarks by Card Role'!K$22,99,FALSE)</f>
        <v>6.9741191696077218E-2</v>
      </c>
      <c r="AH4">
        <f>_xlfn.HYPGEOM.DIST($A4,$C$1,'Benchmarks by Card Role'!L$22,99,FALSE)</f>
        <v>8.204846081891437E-2</v>
      </c>
      <c r="AJ4">
        <f>_xlfn.HYPGEOM.DIST($A4,$C$1,'Benchmarks by Card Role'!D$32,99,FALSE)</f>
        <v>0</v>
      </c>
      <c r="AK4">
        <f>_xlfn.HYPGEOM.DIST($A4,$C$1,'Benchmarks by Card Role'!E$32,99,FALSE)</f>
        <v>0</v>
      </c>
      <c r="AL4">
        <f>_xlfn.HYPGEOM.DIST($A4,$C$1,'Benchmarks by Card Role'!F$32,99,FALSE)</f>
        <v>0</v>
      </c>
      <c r="AM4">
        <f>_xlfn.HYPGEOM.DIST($A4,$C$1,'Benchmarks by Card Role'!G$32,99,FALSE)</f>
        <v>3.5703128486633625E-4</v>
      </c>
      <c r="AN4">
        <f>_xlfn.HYPGEOM.DIST($A4,$C$1,'Benchmarks by Card Role'!H$32,99,FALSE)</f>
        <v>1.3537436217848583E-3</v>
      </c>
      <c r="AO4">
        <f>_xlfn.HYPGEOM.DIST($A4,$C$1,'Benchmarks by Card Role'!I$32,99,FALSE)</f>
        <v>3.2062348937009857E-3</v>
      </c>
      <c r="AP4">
        <f>_xlfn.HYPGEOM.DIST($A4,$C$1,'Benchmarks by Card Role'!J$32,99,FALSE)</f>
        <v>6.0713809689231348E-3</v>
      </c>
      <c r="AQ4">
        <f>_xlfn.HYPGEOM.DIST($A4,$C$1,'Benchmarks by Card Role'!K$32,99,FALSE)</f>
        <v>1.0053684615206063E-2</v>
      </c>
      <c r="AR4">
        <f>_xlfn.HYPGEOM.DIST($A4,$C$1,'Benchmarks by Card Role'!L$32,99,FALSE)</f>
        <v>1.5211661939529176E-2</v>
      </c>
      <c r="AT4">
        <f>_xlfn.HYPGEOM.DIST($A4,$C$1,'Benchmarks by Card Role'!D$42,99,FALSE)</f>
        <v>2.1563784507684196E-2</v>
      </c>
      <c r="AU4">
        <f>_xlfn.HYPGEOM.DIST($A4,$C$1,'Benchmarks by Card Role'!E$42,99,FALSE)</f>
        <v>2.9093994970685037E-2</v>
      </c>
      <c r="AV4">
        <f>_xlfn.HYPGEOM.DIST($A4,$C$1,'Benchmarks by Card Role'!F$42,99,FALSE)</f>
        <v>3.7756813697911507E-2</v>
      </c>
      <c r="AW4">
        <f>_xlfn.HYPGEOM.DIST($A4,$C$1,'Benchmarks by Card Role'!G$42,99,FALSE)</f>
        <v>4.7482053589797742E-2</v>
      </c>
      <c r="AX4">
        <f>_xlfn.HYPGEOM.DIST($A4,$C$1,'Benchmarks by Card Role'!H$42,99,FALSE)</f>
        <v>5.8179159915775103E-2</v>
      </c>
      <c r="AY4">
        <f>_xlfn.HYPGEOM.DIST($A4,$C$1,'Benchmarks by Card Role'!I$42,99,FALSE)</f>
        <v>6.9741191696077218E-2</v>
      </c>
      <c r="AZ4">
        <f>_xlfn.HYPGEOM.DIST($A4,$C$1,'Benchmarks by Card Role'!J$42,99,FALSE)</f>
        <v>8.204846081891437E-2</v>
      </c>
      <c r="BA4">
        <f>_xlfn.HYPGEOM.DIST($A4,$C$1,'Benchmarks by Card Role'!K$42,99,FALSE)</f>
        <v>9.4971844757424817E-2</v>
      </c>
      <c r="BB4">
        <f>_xlfn.HYPGEOM.DIST($A4,$C$1,'Benchmarks by Card Role'!L$42,99,FALSE)</f>
        <v>0.10837578842370497</v>
      </c>
    </row>
    <row r="5" spans="1:54" x14ac:dyDescent="0.25">
      <c r="A5">
        <v>4</v>
      </c>
      <c r="B5">
        <f>_xlfn.HYPGEOM.DIST(A5,'Hypergeometric Calculator'!C$3,'Hypergeometric Calculator'!C$4,'Hypergeometric Calculator'!C$2,FALSE)</f>
        <v>2.1577435683048492E-2</v>
      </c>
      <c r="C5">
        <v>12</v>
      </c>
      <c r="F5">
        <f>_xlfn.HYPGEOM.DIST($A5,$C$1,'Benchmarks by Card Role'!D$2,99,FALSE)</f>
        <v>0.12720247313261165</v>
      </c>
      <c r="G5">
        <f>_xlfn.HYPGEOM.DIST($A5,$C$1,'Benchmarks by Card Role'!E$2,99,FALSE)</f>
        <v>0.13838510813328081</v>
      </c>
      <c r="H5">
        <f>_xlfn.HYPGEOM.DIST($A5,$C$1,'Benchmarks by Card Role'!F$2,99,FALSE)</f>
        <v>0.14967578791656522</v>
      </c>
      <c r="I5">
        <f>_xlfn.HYPGEOM.DIST($A5,$C$1,'Benchmarks by Card Role'!G$2,99,FALSE)</f>
        <v>0.16099580549008685</v>
      </c>
      <c r="J5">
        <f>_xlfn.HYPGEOM.DIST($A5,$C$1,'Benchmarks by Card Role'!H$2,99,FALSE)</f>
        <v>0.17226468328043773</v>
      </c>
      <c r="K5">
        <f>_xlfn.HYPGEOM.DIST($A5,$C$1,'Benchmarks by Card Role'!I$2,99,FALSE)</f>
        <v>0.18340098603796093</v>
      </c>
      <c r="L5">
        <f>_xlfn.HYPGEOM.DIST($A5,$C$1,'Benchmarks by Card Role'!J$2,99,FALSE)</f>
        <v>0.19432312912707048</v>
      </c>
      <c r="M5">
        <f>_xlfn.HYPGEOM.DIST($A5,$C$1,'Benchmarks by Card Role'!K$2,99,FALSE)</f>
        <v>0.20495017525120687</v>
      </c>
      <c r="N5">
        <f>_xlfn.HYPGEOM.DIST($A5,$C$1,'Benchmarks by Card Role'!L$2,99,FALSE)</f>
        <v>0.21520261307041108</v>
      </c>
      <c r="P5">
        <f>_xlfn.HYPGEOM.DIST($A5,$C$1,'Benchmarks by Card Role'!D$12,99,FALSE)</f>
        <v>5.7123208040943602E-4</v>
      </c>
      <c r="Q5">
        <f>_xlfn.HYPGEOM.DIST($A5,$C$1,'Benchmarks by Card Role'!E$12,99,FALSE)</f>
        <v>1.0927918060006578E-3</v>
      </c>
      <c r="R5">
        <f>_xlfn.HYPGEOM.DIST($A5,$C$1,'Benchmarks by Card Role'!F$12,99,FALSE)</f>
        <v>1.8805626024143195E-3</v>
      </c>
      <c r="S5">
        <f>_xlfn.HYPGEOM.DIST($A5,$C$1,'Benchmarks by Card Role'!G$12,99,FALSE)</f>
        <v>2.9949700705116998E-3</v>
      </c>
      <c r="T5">
        <f>_xlfn.HYPGEOM.DIST($A5,$C$1,'Benchmarks by Card Role'!H$12,99,FALSE)</f>
        <v>4.4948587735608846E-3</v>
      </c>
      <c r="U5">
        <f>_xlfn.HYPGEOM.DIST($A5,$C$1,'Benchmarks by Card Role'!I$12,99,FALSE)</f>
        <v>6.4358205166894656E-3</v>
      </c>
      <c r="V5">
        <f>_xlfn.HYPGEOM.DIST($A5,$C$1,'Benchmarks by Card Role'!J$12,99,FALSE)</f>
        <v>8.8687743774047492E-3</v>
      </c>
      <c r="W5">
        <f>_xlfn.HYPGEOM.DIST($A5,$C$1,'Benchmarks by Card Role'!K$12,99,FALSE)</f>
        <v>1.1838782541000769E-2</v>
      </c>
      <c r="X5">
        <f>_xlfn.HYPGEOM.DIST($A5,$C$1,'Benchmarks by Card Role'!L$12,99,FALSE)</f>
        <v>1.5384086403546472E-2</v>
      </c>
      <c r="Z5">
        <f>_xlfn.HYPGEOM.DIST($A5,$C$1,'Benchmarks by Card Role'!D$22,99,FALSE)</f>
        <v>5.7123208040943602E-4</v>
      </c>
      <c r="AA5">
        <f>_xlfn.HYPGEOM.DIST($A5,$C$1,'Benchmarks by Card Role'!E$22,99,FALSE)</f>
        <v>1.0927918060006578E-3</v>
      </c>
      <c r="AB5">
        <f>_xlfn.HYPGEOM.DIST($A5,$C$1,'Benchmarks by Card Role'!F$22,99,FALSE)</f>
        <v>1.8805626024143195E-3</v>
      </c>
      <c r="AC5">
        <f>_xlfn.HYPGEOM.DIST($A5,$C$1,'Benchmarks by Card Role'!G$22,99,FALSE)</f>
        <v>2.9949700705116998E-3</v>
      </c>
      <c r="AD5">
        <f>_xlfn.HYPGEOM.DIST($A5,$C$1,'Benchmarks by Card Role'!H$22,99,FALSE)</f>
        <v>4.4948587735608846E-3</v>
      </c>
      <c r="AE5">
        <f>_xlfn.HYPGEOM.DIST($A5,$C$1,'Benchmarks by Card Role'!I$22,99,FALSE)</f>
        <v>6.4358205166894656E-3</v>
      </c>
      <c r="AF5">
        <f>_xlfn.HYPGEOM.DIST($A5,$C$1,'Benchmarks by Card Role'!J$22,99,FALSE)</f>
        <v>8.8687743774047492E-3</v>
      </c>
      <c r="AG5">
        <f>_xlfn.HYPGEOM.DIST($A5,$C$1,'Benchmarks by Card Role'!K$22,99,FALSE)</f>
        <v>1.1838782541000769E-2</v>
      </c>
      <c r="AH5">
        <f>_xlfn.HYPGEOM.DIST($A5,$C$1,'Benchmarks by Card Role'!L$22,99,FALSE)</f>
        <v>1.5384086403546472E-2</v>
      </c>
      <c r="AJ5">
        <f>_xlfn.HYPGEOM.DIST($A5,$C$1,'Benchmarks by Card Role'!D$32,99,FALSE)</f>
        <v>0</v>
      </c>
      <c r="AK5">
        <f>_xlfn.HYPGEOM.DIST($A5,$C$1,'Benchmarks by Card Role'!E$32,99,FALSE)</f>
        <v>0</v>
      </c>
      <c r="AL5">
        <f>_xlfn.HYPGEOM.DIST($A5,$C$1,'Benchmarks by Card Role'!F$32,99,FALSE)</f>
        <v>0</v>
      </c>
      <c r="AM5">
        <f>_xlfn.HYPGEOM.DIST($A5,$C$1,'Benchmarks by Card Role'!G$32,99,FALSE)</f>
        <v>0</v>
      </c>
      <c r="AN5">
        <f>_xlfn.HYPGEOM.DIST($A5,$C$1,'Benchmarks by Card Role'!H$32,99,FALSE)</f>
        <v>1.8595379420121685E-5</v>
      </c>
      <c r="AO5">
        <f>_xlfn.HYPGEOM.DIST($A5,$C$1,'Benchmarks by Card Role'!I$32,99,FALSE)</f>
        <v>8.9062080380582895E-5</v>
      </c>
      <c r="AP5">
        <f>_xlfn.HYPGEOM.DIST($A5,$C$1,'Benchmarks by Card Role'!J$32,99,FALSE)</f>
        <v>2.5581661385912121E-4</v>
      </c>
      <c r="AQ5">
        <f>_xlfn.HYPGEOM.DIST($A5,$C$1,'Benchmarks by Card Role'!K$32,99,FALSE)</f>
        <v>5.7123208040943602E-4</v>
      </c>
      <c r="AR5">
        <f>_xlfn.HYPGEOM.DIST($A5,$C$1,'Benchmarks by Card Role'!L$32,99,FALSE)</f>
        <v>1.0927918060006578E-3</v>
      </c>
      <c r="AT5">
        <f>_xlfn.HYPGEOM.DIST($A5,$C$1,'Benchmarks by Card Role'!D$42,99,FALSE)</f>
        <v>1.8805626024143195E-3</v>
      </c>
      <c r="AU5">
        <f>_xlfn.HYPGEOM.DIST($A5,$C$1,'Benchmarks by Card Role'!E$42,99,FALSE)</f>
        <v>2.9949700705116998E-3</v>
      </c>
      <c r="AV5">
        <f>_xlfn.HYPGEOM.DIST($A5,$C$1,'Benchmarks by Card Role'!F$42,99,FALSE)</f>
        <v>4.4948587735608846E-3</v>
      </c>
      <c r="AW5">
        <f>_xlfn.HYPGEOM.DIST($A5,$C$1,'Benchmarks by Card Role'!G$42,99,FALSE)</f>
        <v>6.4358205166894656E-3</v>
      </c>
      <c r="AX5">
        <f>_xlfn.HYPGEOM.DIST($A5,$C$1,'Benchmarks by Card Role'!H$42,99,FALSE)</f>
        <v>8.8687743774047492E-3</v>
      </c>
      <c r="AY5">
        <f>_xlfn.HYPGEOM.DIST($A5,$C$1,'Benchmarks by Card Role'!I$42,99,FALSE)</f>
        <v>1.1838782541000769E-2</v>
      </c>
      <c r="AZ5">
        <f>_xlfn.HYPGEOM.DIST($A5,$C$1,'Benchmarks by Card Role'!J$42,99,FALSE)</f>
        <v>1.5384086403546472E-2</v>
      </c>
      <c r="BA5">
        <f>_xlfn.HYPGEOM.DIST($A5,$C$1,'Benchmarks by Card Role'!K$42,99,FALSE)</f>
        <v>1.9535347814027246E-2</v>
      </c>
      <c r="BB5">
        <f>_xlfn.HYPGEOM.DIST($A5,$C$1,'Benchmarks by Card Role'!L$42,99,FALSE)</f>
        <v>2.4315080736087697E-2</v>
      </c>
    </row>
    <row r="6" spans="1:54" x14ac:dyDescent="0.25">
      <c r="A6">
        <v>5</v>
      </c>
      <c r="B6">
        <f>_xlfn.HYPGEOM.DIST(A6,'Hypergeometric Calculator'!C$3,'Hypergeometric Calculator'!C$4,'Hypergeometric Calculator'!C$2,FALSE)</f>
        <v>2.876991424406465E-3</v>
      </c>
      <c r="C6">
        <v>13</v>
      </c>
      <c r="F6">
        <f>_xlfn.HYPGEOM.DIST($A6,$C$1,'Benchmarks by Card Role'!D$2,99,FALSE)</f>
        <v>3.7970887502272066E-2</v>
      </c>
      <c r="G6">
        <f>_xlfn.HYPGEOM.DIST($A6,$C$1,'Benchmarks by Card Role'!E$2,99,FALSE)</f>
        <v>4.3612276502609709E-2</v>
      </c>
      <c r="H6">
        <f>_xlfn.HYPGEOM.DIST($A6,$C$1,'Benchmarks by Card Role'!F$2,99,FALSE)</f>
        <v>4.973841567688931E-2</v>
      </c>
      <c r="I6">
        <f>_xlfn.HYPGEOM.DIST($A6,$C$1,'Benchmarks by Card Role'!G$2,99,FALSE)</f>
        <v>5.6348531921530352E-2</v>
      </c>
      <c r="J6">
        <f>_xlfn.HYPGEOM.DIST($A6,$C$1,'Benchmarks by Card Role'!H$2,99,FALSE)</f>
        <v>6.3437153208034128E-2</v>
      </c>
      <c r="K6">
        <f>_xlfn.HYPGEOM.DIST($A6,$C$1,'Benchmarks by Card Role'!I$2,99,FALSE)</f>
        <v>7.0993930079210704E-2</v>
      </c>
      <c r="L6">
        <f>_xlfn.HYPGEOM.DIST($A6,$C$1,'Benchmarks by Card Role'!J$2,99,FALSE)</f>
        <v>7.9003501677890914E-2</v>
      </c>
      <c r="M6">
        <f>_xlfn.HYPGEOM.DIST($A6,$C$1,'Benchmarks by Card Role'!K$2,99,FALSE)</f>
        <v>8.7445408107181641E-2</v>
      </c>
      <c r="N6">
        <f>_xlfn.HYPGEOM.DIST($A6,$C$1,'Benchmarks by Card Role'!L$2,99,FALSE)</f>
        <v>9.6294050594217889E-2</v>
      </c>
      <c r="P6">
        <f>_xlfn.HYPGEOM.DIST($A6,$C$1,'Benchmarks by Card Role'!D$12,99,FALSE)</f>
        <v>1.5404011157108363E-5</v>
      </c>
      <c r="Q6">
        <f>_xlfn.HYPGEOM.DIST($A6,$C$1,'Benchmarks by Card Role'!E$12,99,FALSE)</f>
        <v>3.9737883854569323E-5</v>
      </c>
      <c r="R6">
        <f>_xlfn.HYPGEOM.DIST($A6,$C$1,'Benchmarks by Card Role'!F$12,99,FALSE)</f>
        <v>8.646264838686533E-5</v>
      </c>
      <c r="S6">
        <f>_xlfn.HYPGEOM.DIST($A6,$C$1,'Benchmarks by Card Role'!G$12,99,FALSE)</f>
        <v>1.671611202146067E-4</v>
      </c>
      <c r="T6">
        <f>_xlfn.HYPGEOM.DIST($A6,$C$1,'Benchmarks by Card Role'!H$12,99,FALSE)</f>
        <v>2.9613187214048162E-4</v>
      </c>
      <c r="U6">
        <f>_xlfn.HYPGEOM.DIST($A6,$C$1,'Benchmarks by Card Role'!I$12,99,FALSE)</f>
        <v>4.903482298430073E-4</v>
      </c>
      <c r="V6">
        <f>_xlfn.HYPGEOM.DIST($A6,$C$1,'Benchmarks by Card Role'!J$12,99,FALSE)</f>
        <v>7.6933946406402729E-4</v>
      </c>
      <c r="W6">
        <f>_xlfn.HYPGEOM.DIST($A6,$C$1,'Benchmarks by Card Role'!K$12,99,FALSE)</f>
        <v>1.1550031747317806E-3</v>
      </c>
      <c r="X6">
        <f>_xlfn.HYPGEOM.DIST($A6,$C$1,'Benchmarks by Card Role'!L$12,99,FALSE)</f>
        <v>1.6713575352001067E-3</v>
      </c>
      <c r="Z6">
        <f>_xlfn.HYPGEOM.DIST($A6,$C$1,'Benchmarks by Card Role'!D$22,99,FALSE)</f>
        <v>1.5404011157108363E-5</v>
      </c>
      <c r="AA6">
        <f>_xlfn.HYPGEOM.DIST($A6,$C$1,'Benchmarks by Card Role'!E$22,99,FALSE)</f>
        <v>3.9737883854569323E-5</v>
      </c>
      <c r="AB6">
        <f>_xlfn.HYPGEOM.DIST($A6,$C$1,'Benchmarks by Card Role'!F$22,99,FALSE)</f>
        <v>8.646264838686533E-5</v>
      </c>
      <c r="AC6">
        <f>_xlfn.HYPGEOM.DIST($A6,$C$1,'Benchmarks by Card Role'!G$22,99,FALSE)</f>
        <v>1.671611202146067E-4</v>
      </c>
      <c r="AD6">
        <f>_xlfn.HYPGEOM.DIST($A6,$C$1,'Benchmarks by Card Role'!H$22,99,FALSE)</f>
        <v>2.9613187214048162E-4</v>
      </c>
      <c r="AE6">
        <f>_xlfn.HYPGEOM.DIST($A6,$C$1,'Benchmarks by Card Role'!I$22,99,FALSE)</f>
        <v>4.903482298430073E-4</v>
      </c>
      <c r="AF6">
        <f>_xlfn.HYPGEOM.DIST($A6,$C$1,'Benchmarks by Card Role'!J$22,99,FALSE)</f>
        <v>7.6933946406402729E-4</v>
      </c>
      <c r="AG6">
        <f>_xlfn.HYPGEOM.DIST($A6,$C$1,'Benchmarks by Card Role'!K$22,99,FALSE)</f>
        <v>1.1550031747317806E-3</v>
      </c>
      <c r="AH6">
        <f>_xlfn.HYPGEOM.DIST($A6,$C$1,'Benchmarks by Card Role'!L$22,99,FALSE)</f>
        <v>1.6713575352001067E-3</v>
      </c>
      <c r="AJ6">
        <f>_xlfn.HYPGEOM.DIST($A6,$C$1,'Benchmarks by Card Role'!D$32,99,FALSE)</f>
        <v>0</v>
      </c>
      <c r="AK6">
        <f>_xlfn.HYPGEOM.DIST($A6,$C$1,'Benchmarks by Card Role'!E$32,99,FALSE)</f>
        <v>0</v>
      </c>
      <c r="AL6">
        <f>_xlfn.HYPGEOM.DIST($A6,$C$1,'Benchmarks by Card Role'!F$32,99,FALSE)</f>
        <v>0</v>
      </c>
      <c r="AM6">
        <f>_xlfn.HYPGEOM.DIST($A6,$C$1,'Benchmarks by Card Role'!G$32,99,FALSE)</f>
        <v>0</v>
      </c>
      <c r="AN6">
        <f>_xlfn.HYPGEOM.DIST($A6,$C$1,'Benchmarks by Card Role'!H$32,99,FALSE)</f>
        <v>0</v>
      </c>
      <c r="AO6">
        <f>_xlfn.HYPGEOM.DIST($A6,$C$1,'Benchmarks by Card Role'!I$32,99,FALSE)</f>
        <v>7.829633440051241E-7</v>
      </c>
      <c r="AP6">
        <f>_xlfn.HYPGEOM.DIST($A6,$C$1,'Benchmarks by Card Role'!J$32,99,FALSE)</f>
        <v>4.5478509130510408E-6</v>
      </c>
      <c r="AQ6">
        <f>_xlfn.HYPGEOM.DIST($A6,$C$1,'Benchmarks by Card Role'!K$32,99,FALSE)</f>
        <v>1.5404011157108363E-5</v>
      </c>
      <c r="AR6">
        <f>_xlfn.HYPGEOM.DIST($A6,$C$1,'Benchmarks by Card Role'!L$32,99,FALSE)</f>
        <v>3.9737883854569323E-5</v>
      </c>
      <c r="AT6">
        <f>_xlfn.HYPGEOM.DIST($A6,$C$1,'Benchmarks by Card Role'!D$42,99,FALSE)</f>
        <v>8.646264838686533E-5</v>
      </c>
      <c r="AU6">
        <f>_xlfn.HYPGEOM.DIST($A6,$C$1,'Benchmarks by Card Role'!E$42,99,FALSE)</f>
        <v>1.671611202146067E-4</v>
      </c>
      <c r="AV6">
        <f>_xlfn.HYPGEOM.DIST($A6,$C$1,'Benchmarks by Card Role'!F$42,99,FALSE)</f>
        <v>2.9613187214048162E-4</v>
      </c>
      <c r="AW6">
        <f>_xlfn.HYPGEOM.DIST($A6,$C$1,'Benchmarks by Card Role'!G$42,99,FALSE)</f>
        <v>4.903482298430073E-4</v>
      </c>
      <c r="AX6">
        <f>_xlfn.HYPGEOM.DIST($A6,$C$1,'Benchmarks by Card Role'!H$42,99,FALSE)</f>
        <v>7.6933946406402729E-4</v>
      </c>
      <c r="AY6">
        <f>_xlfn.HYPGEOM.DIST($A6,$C$1,'Benchmarks by Card Role'!I$42,99,FALSE)</f>
        <v>1.1550031747317806E-3</v>
      </c>
      <c r="AZ6">
        <f>_xlfn.HYPGEOM.DIST($A6,$C$1,'Benchmarks by Card Role'!J$42,99,FALSE)</f>
        <v>1.6713575352001067E-3</v>
      </c>
      <c r="BA6">
        <f>_xlfn.HYPGEOM.DIST($A6,$C$1,'Benchmarks by Card Role'!K$42,99,FALSE)</f>
        <v>2.3442417376832695E-3</v>
      </c>
      <c r="BB6">
        <f>_xlfn.HYPGEOM.DIST($A6,$C$1,'Benchmarks by Card Role'!L$42,99,FALSE)</f>
        <v>3.2009726538647061E-3</v>
      </c>
    </row>
    <row r="7" spans="1:54" x14ac:dyDescent="0.25">
      <c r="A7">
        <v>6</v>
      </c>
      <c r="F7">
        <f>_xlfn.HYPGEOM.DIST($A7,$C$1,'Benchmarks by Card Role'!D$2,99,FALSE)</f>
        <v>6.7007448533421433E-3</v>
      </c>
      <c r="G7">
        <f>_xlfn.HYPGEOM.DIST($A7,$C$1,'Benchmarks by Card Role'!E$2,99,FALSE)</f>
        <v>8.1366187504868723E-3</v>
      </c>
      <c r="H7">
        <f>_xlfn.HYPGEOM.DIST($A7,$C$1,'Benchmarks by Card Role'!F$2,99,FALSE)</f>
        <v>9.7969606636297175E-3</v>
      </c>
      <c r="I7">
        <f>_xlfn.HYPGEOM.DIST($A7,$C$1,'Benchmarks by Card Role'!G$2,99,FALSE)</f>
        <v>1.1703156629856291E-2</v>
      </c>
      <c r="J7">
        <f>_xlfn.HYPGEOM.DIST($A7,$C$1,'Benchmarks by Card Role'!H$2,99,FALSE)</f>
        <v>1.3876877264257473E-2</v>
      </c>
      <c r="K7">
        <f>_xlfn.HYPGEOM.DIST($A7,$C$1,'Benchmarks by Card Role'!I$2,99,FALSE)</f>
        <v>1.6339872796008795E-2</v>
      </c>
      <c r="L7">
        <f>_xlfn.HYPGEOM.DIST($A7,$C$1,'Benchmarks by Card Role'!J$2,99,FALSE)</f>
        <v>1.9113750405941311E-2</v>
      </c>
      <c r="M7">
        <f>_xlfn.HYPGEOM.DIST($A7,$C$1,'Benchmarks by Card Role'!K$2,99,FALSE)</f>
        <v>2.2219734846906796E-2</v>
      </c>
      <c r="N7">
        <f>_xlfn.HYPGEOM.DIST($A7,$C$1,'Benchmarks by Card Role'!L$2,99,FALSE)</f>
        <v>2.5678413491791417E-2</v>
      </c>
      <c r="P7">
        <f>_xlfn.HYPGEOM.DIST($A7,$C$1,'Benchmarks by Card Role'!D$12,99,FALSE)</f>
        <v>1.7115567952342597E-7</v>
      </c>
      <c r="Q7">
        <f>_xlfn.HYPGEOM.DIST($A7,$C$1,'Benchmarks by Card Role'!E$12,99,FALSE)</f>
        <v>6.6973961552644987E-7</v>
      </c>
      <c r="R7">
        <f>_xlfn.HYPGEOM.DIST($A7,$C$1,'Benchmarks by Card Role'!F$12,99,FALSE)</f>
        <v>1.9650601906105725E-6</v>
      </c>
      <c r="S7">
        <f>_xlfn.HYPGEOM.DIST($A7,$C$1,'Benchmarks by Card Role'!G$12,99,FALSE)</f>
        <v>4.8034804659369561E-6</v>
      </c>
      <c r="T7">
        <f>_xlfn.HYPGEOM.DIST($A7,$C$1,'Benchmarks by Card Role'!H$12,99,FALSE)</f>
        <v>1.0330181586295912E-5</v>
      </c>
      <c r="U7">
        <f>_xlfn.HYPGEOM.DIST($A7,$C$1,'Benchmarks by Card Role'!I$12,99,FALSE)</f>
        <v>2.0190809464123749E-5</v>
      </c>
      <c r="V7">
        <f>_xlfn.HYPGEOM.DIST($A7,$C$1,'Benchmarks by Card Role'!J$12,99,FALSE)</f>
        <v>3.6635212574477475E-5</v>
      </c>
      <c r="W7">
        <f>_xlfn.HYPGEOM.DIST($A7,$C$1,'Benchmarks by Card Role'!K$12,99,FALSE)</f>
        <v>6.2620654051723161E-5</v>
      </c>
      <c r="X7">
        <f>_xlfn.HYPGEOM.DIST($A7,$C$1,'Benchmarks by Card Role'!L$12,99,FALSE)</f>
        <v>1.0191204482927497E-4</v>
      </c>
      <c r="Z7">
        <f>_xlfn.HYPGEOM.DIST($A7,$C$1,'Benchmarks by Card Role'!D$22,99,FALSE)</f>
        <v>1.7115567952342597E-7</v>
      </c>
      <c r="AA7">
        <f>_xlfn.HYPGEOM.DIST($A7,$C$1,'Benchmarks by Card Role'!E$22,99,FALSE)</f>
        <v>6.6973961552644987E-7</v>
      </c>
      <c r="AB7">
        <f>_xlfn.HYPGEOM.DIST($A7,$C$1,'Benchmarks by Card Role'!F$22,99,FALSE)</f>
        <v>1.9650601906105725E-6</v>
      </c>
      <c r="AC7">
        <f>_xlfn.HYPGEOM.DIST($A7,$C$1,'Benchmarks by Card Role'!G$22,99,FALSE)</f>
        <v>4.8034804659369561E-6</v>
      </c>
      <c r="AD7">
        <f>_xlfn.HYPGEOM.DIST($A7,$C$1,'Benchmarks by Card Role'!H$22,99,FALSE)</f>
        <v>1.0330181586295912E-5</v>
      </c>
      <c r="AE7">
        <f>_xlfn.HYPGEOM.DIST($A7,$C$1,'Benchmarks by Card Role'!I$22,99,FALSE)</f>
        <v>2.0190809464123749E-5</v>
      </c>
      <c r="AF7">
        <f>_xlfn.HYPGEOM.DIST($A7,$C$1,'Benchmarks by Card Role'!J$22,99,FALSE)</f>
        <v>3.6635212574477475E-5</v>
      </c>
      <c r="AG7">
        <f>_xlfn.HYPGEOM.DIST($A7,$C$1,'Benchmarks by Card Role'!K$22,99,FALSE)</f>
        <v>6.2620654051723161E-5</v>
      </c>
      <c r="AH7">
        <f>_xlfn.HYPGEOM.DIST($A7,$C$1,'Benchmarks by Card Role'!L$22,99,FALSE)</f>
        <v>1.0191204482927497E-4</v>
      </c>
      <c r="AJ7">
        <f>_xlfn.HYPGEOM.DIST($A7,$C$1,'Benchmarks by Card Role'!D$32,99,FALSE)</f>
        <v>0</v>
      </c>
      <c r="AK7">
        <f>_xlfn.HYPGEOM.DIST($A7,$C$1,'Benchmarks by Card Role'!E$32,99,FALSE)</f>
        <v>0</v>
      </c>
      <c r="AL7">
        <f>_xlfn.HYPGEOM.DIST($A7,$C$1,'Benchmarks by Card Role'!F$32,99,FALSE)</f>
        <v>0</v>
      </c>
      <c r="AM7">
        <f>_xlfn.HYPGEOM.DIST($A7,$C$1,'Benchmarks by Card Role'!G$32,99,FALSE)</f>
        <v>0</v>
      </c>
      <c r="AN7">
        <f>_xlfn.HYPGEOM.DIST($A7,$C$1,'Benchmarks by Card Role'!H$32,99,FALSE)</f>
        <v>0</v>
      </c>
      <c r="AO7">
        <f>_xlfn.HYPGEOM.DIST($A7,$C$1,'Benchmarks by Card Role'!I$32,99,FALSE)</f>
        <v>0</v>
      </c>
      <c r="AP7">
        <f>_xlfn.HYPGEOM.DIST($A7,$C$1,'Benchmarks by Card Role'!J$32,99,FALSE)</f>
        <v>2.4988191829950767E-8</v>
      </c>
      <c r="AQ7">
        <f>_xlfn.HYPGEOM.DIST($A7,$C$1,'Benchmarks by Card Role'!K$32,99,FALSE)</f>
        <v>1.7115567952342597E-7</v>
      </c>
      <c r="AR7">
        <f>_xlfn.HYPGEOM.DIST($A7,$C$1,'Benchmarks by Card Role'!L$32,99,FALSE)</f>
        <v>6.6973961552644987E-7</v>
      </c>
      <c r="AT7">
        <f>_xlfn.HYPGEOM.DIST($A7,$C$1,'Benchmarks by Card Role'!D$42,99,FALSE)</f>
        <v>1.9650601906105725E-6</v>
      </c>
      <c r="AU7">
        <f>_xlfn.HYPGEOM.DIST($A7,$C$1,'Benchmarks by Card Role'!E$42,99,FALSE)</f>
        <v>4.8034804659369561E-6</v>
      </c>
      <c r="AV7">
        <f>_xlfn.HYPGEOM.DIST($A7,$C$1,'Benchmarks by Card Role'!F$42,99,FALSE)</f>
        <v>1.0330181586295912E-5</v>
      </c>
      <c r="AW7">
        <f>_xlfn.HYPGEOM.DIST($A7,$C$1,'Benchmarks by Card Role'!G$42,99,FALSE)</f>
        <v>2.0190809464123749E-5</v>
      </c>
      <c r="AX7">
        <f>_xlfn.HYPGEOM.DIST($A7,$C$1,'Benchmarks by Card Role'!H$42,99,FALSE)</f>
        <v>3.6635212574477475E-5</v>
      </c>
      <c r="AY7">
        <f>_xlfn.HYPGEOM.DIST($A7,$C$1,'Benchmarks by Card Role'!I$42,99,FALSE)</f>
        <v>6.2620654051723161E-5</v>
      </c>
      <c r="AZ7">
        <f>_xlfn.HYPGEOM.DIST($A7,$C$1,'Benchmarks by Card Role'!J$42,99,FALSE)</f>
        <v>1.0191204482927497E-4</v>
      </c>
      <c r="BA7">
        <f>_xlfn.HYPGEOM.DIST($A7,$C$1,'Benchmarks by Card Role'!K$42,99,FALSE)</f>
        <v>1.59176908114296E-4</v>
      </c>
      <c r="BB7">
        <f>_xlfn.HYPGEOM.DIST($A7,$C$1,'Benchmarks by Card Role'!L$42,99,FALSE)</f>
        <v>2.4007294903985251E-4</v>
      </c>
    </row>
    <row r="8" spans="1:54" x14ac:dyDescent="0.25">
      <c r="A8">
        <v>7</v>
      </c>
      <c r="F8">
        <f>_xlfn.HYPGEOM.DIST($A8,$C$1,'Benchmarks by Card Role'!D$2,99,FALSE)</f>
        <v>6.3816617650877625E-4</v>
      </c>
      <c r="G8">
        <f>_xlfn.HYPGEOM.DIST($A8,$C$1,'Benchmarks by Card Role'!E$2,99,FALSE)</f>
        <v>8.2049936979699536E-4</v>
      </c>
      <c r="H8">
        <f>_xlfn.HYPGEOM.DIST($A8,$C$1,'Benchmarks by Card Role'!F$2,99,FALSE)</f>
        <v>1.04445209633579E-3</v>
      </c>
      <c r="I8">
        <f>_xlfn.HYPGEOM.DIST($A8,$C$1,'Benchmarks by Card Role'!G$2,99,FALSE)</f>
        <v>1.3172384085552553E-3</v>
      </c>
      <c r="J8">
        <f>_xlfn.HYPGEOM.DIST($A8,$C$1,'Benchmarks by Card Role'!H$2,99,FALSE)</f>
        <v>1.6469260929008877E-3</v>
      </c>
      <c r="K8">
        <f>_xlfn.HYPGEOM.DIST($A8,$C$1,'Benchmarks by Card Role'!I$2,99,FALSE)</f>
        <v>2.0424840995010994E-3</v>
      </c>
      <c r="L8">
        <f>_xlfn.HYPGEOM.DIST($A8,$C$1,'Benchmarks by Card Role'!J$2,99,FALSE)</f>
        <v>2.513826584001354E-3</v>
      </c>
      <c r="M8">
        <f>_xlfn.HYPGEOM.DIST($A8,$C$1,'Benchmarks by Card Role'!K$2,99,FALSE)</f>
        <v>3.0718527438120019E-3</v>
      </c>
      <c r="N8">
        <f>_xlfn.HYPGEOM.DIST($A8,$C$1,'Benchmarks by Card Role'!L$2,99,FALSE)</f>
        <v>3.7284815842882138E-3</v>
      </c>
      <c r="P8">
        <f>_xlfn.HYPGEOM.DIST($A8,$C$1,'Benchmarks by Card Role'!D$12,99,FALSE)</f>
        <v>5.3738046946130564E-10</v>
      </c>
      <c r="Q8">
        <f>_xlfn.HYPGEOM.DIST($A8,$C$1,'Benchmarks by Card Role'!E$12,99,FALSE)</f>
        <v>4.2523150192155414E-9</v>
      </c>
      <c r="R8">
        <f>_xlfn.HYPGEOM.DIST($A8,$C$1,'Benchmarks by Card Role'!F$12,99,FALSE)</f>
        <v>1.8925138272333001E-8</v>
      </c>
      <c r="S8">
        <f>_xlfn.HYPGEOM.DIST($A8,$C$1,'Benchmarks by Card Role'!G$12,99,FALSE)</f>
        <v>6.2382863193986562E-8</v>
      </c>
      <c r="T8">
        <f>_xlfn.HYPGEOM.DIST($A8,$C$1,'Benchmarks by Card Role'!H$12,99,FALSE)</f>
        <v>1.6962531340387334E-7</v>
      </c>
      <c r="U8">
        <f>_xlfn.HYPGEOM.DIST($A8,$C$1,'Benchmarks by Card Role'!I$12,99,FALSE)</f>
        <v>4.0247460725828159E-7</v>
      </c>
      <c r="V8">
        <f>_xlfn.HYPGEOM.DIST($A8,$C$1,'Benchmarks by Card Role'!J$12,99,FALSE)</f>
        <v>8.6200500175241121E-7</v>
      </c>
      <c r="W8">
        <f>_xlfn.HYPGEOM.DIST($A8,$C$1,'Benchmarks by Card Role'!K$12,99,FALSE)</f>
        <v>1.7039633755570916E-6</v>
      </c>
      <c r="X8">
        <f>_xlfn.HYPGEOM.DIST($A8,$C$1,'Benchmarks by Card Role'!L$12,99,FALSE)</f>
        <v>3.1573439017675488E-6</v>
      </c>
      <c r="Z8">
        <f>_xlfn.HYPGEOM.DIST($A8,$C$1,'Benchmarks by Card Role'!D$22,99,FALSE)</f>
        <v>5.3738046946130564E-10</v>
      </c>
      <c r="AA8">
        <f>_xlfn.HYPGEOM.DIST($A8,$C$1,'Benchmarks by Card Role'!E$22,99,FALSE)</f>
        <v>4.2523150192155414E-9</v>
      </c>
      <c r="AB8">
        <f>_xlfn.HYPGEOM.DIST($A8,$C$1,'Benchmarks by Card Role'!F$22,99,FALSE)</f>
        <v>1.8925138272333001E-8</v>
      </c>
      <c r="AC8">
        <f>_xlfn.HYPGEOM.DIST($A8,$C$1,'Benchmarks by Card Role'!G$22,99,FALSE)</f>
        <v>6.2382863193986562E-8</v>
      </c>
      <c r="AD8">
        <f>_xlfn.HYPGEOM.DIST($A8,$C$1,'Benchmarks by Card Role'!H$22,99,FALSE)</f>
        <v>1.6962531340387334E-7</v>
      </c>
      <c r="AE8">
        <f>_xlfn.HYPGEOM.DIST($A8,$C$1,'Benchmarks by Card Role'!I$22,99,FALSE)</f>
        <v>4.0247460725828159E-7</v>
      </c>
      <c r="AF8">
        <f>_xlfn.HYPGEOM.DIST($A8,$C$1,'Benchmarks by Card Role'!J$22,99,FALSE)</f>
        <v>8.6200500175241121E-7</v>
      </c>
      <c r="AG8">
        <f>_xlfn.HYPGEOM.DIST($A8,$C$1,'Benchmarks by Card Role'!K$22,99,FALSE)</f>
        <v>1.7039633755570916E-6</v>
      </c>
      <c r="AH8">
        <f>_xlfn.HYPGEOM.DIST($A8,$C$1,'Benchmarks by Card Role'!L$22,99,FALSE)</f>
        <v>3.1573439017675488E-6</v>
      </c>
      <c r="AJ8">
        <f>_xlfn.HYPGEOM.DIST($A8,$C$1,'Benchmarks by Card Role'!D$32,99,FALSE)</f>
        <v>0</v>
      </c>
      <c r="AK8">
        <f>_xlfn.HYPGEOM.DIST($A8,$C$1,'Benchmarks by Card Role'!E$32,99,FALSE)</f>
        <v>0</v>
      </c>
      <c r="AL8">
        <f>_xlfn.HYPGEOM.DIST($A8,$C$1,'Benchmarks by Card Role'!F$32,99,FALSE)</f>
        <v>0</v>
      </c>
      <c r="AM8">
        <f>_xlfn.HYPGEOM.DIST($A8,$C$1,'Benchmarks by Card Role'!G$32,99,FALSE)</f>
        <v>0</v>
      </c>
      <c r="AN8">
        <f>_xlfn.HYPGEOM.DIST($A8,$C$1,'Benchmarks by Card Role'!H$32,99,FALSE)</f>
        <v>0</v>
      </c>
      <c r="AO8">
        <f>_xlfn.HYPGEOM.DIST($A8,$C$1,'Benchmarks by Card Role'!I$32,99,FALSE)</f>
        <v>0</v>
      </c>
      <c r="AP8">
        <f>_xlfn.HYPGEOM.DIST($A8,$C$1,'Benchmarks by Card Role'!J$32,99,FALSE)</f>
        <v>0</v>
      </c>
      <c r="AQ8">
        <f>_xlfn.HYPGEOM.DIST($A8,$C$1,'Benchmarks by Card Role'!K$32,99,FALSE)</f>
        <v>5.3738046946130564E-10</v>
      </c>
      <c r="AR8">
        <f>_xlfn.HYPGEOM.DIST($A8,$C$1,'Benchmarks by Card Role'!L$32,99,FALSE)</f>
        <v>4.2523150192155414E-9</v>
      </c>
      <c r="AT8">
        <f>_xlfn.HYPGEOM.DIST($A8,$C$1,'Benchmarks by Card Role'!D$42,99,FALSE)</f>
        <v>1.8925138272333001E-8</v>
      </c>
      <c r="AU8">
        <f>_xlfn.HYPGEOM.DIST($A8,$C$1,'Benchmarks by Card Role'!E$42,99,FALSE)</f>
        <v>6.2382863193986562E-8</v>
      </c>
      <c r="AV8">
        <f>_xlfn.HYPGEOM.DIST($A8,$C$1,'Benchmarks by Card Role'!F$42,99,FALSE)</f>
        <v>1.6962531340387334E-7</v>
      </c>
      <c r="AW8">
        <f>_xlfn.HYPGEOM.DIST($A8,$C$1,'Benchmarks by Card Role'!G$42,99,FALSE)</f>
        <v>4.0247460725828159E-7</v>
      </c>
      <c r="AX8">
        <f>_xlfn.HYPGEOM.DIST($A8,$C$1,'Benchmarks by Card Role'!H$42,99,FALSE)</f>
        <v>8.6200500175241121E-7</v>
      </c>
      <c r="AY8">
        <f>_xlfn.HYPGEOM.DIST($A8,$C$1,'Benchmarks by Card Role'!I$42,99,FALSE)</f>
        <v>1.7039633755570916E-6</v>
      </c>
      <c r="AZ8">
        <f>_xlfn.HYPGEOM.DIST($A8,$C$1,'Benchmarks by Card Role'!J$42,99,FALSE)</f>
        <v>3.1573439017675488E-6</v>
      </c>
      <c r="BA8">
        <f>_xlfn.HYPGEOM.DIST($A8,$C$1,'Benchmarks by Card Role'!K$42,99,FALSE)</f>
        <v>5.5462337322054329E-6</v>
      </c>
      <c r="BB8">
        <f>_xlfn.HYPGEOM.DIST($A8,$C$1,'Benchmarks by Card Role'!L$42,99,FALSE)</f>
        <v>9.314999786378758E-6</v>
      </c>
    </row>
    <row r="9" spans="1:54" x14ac:dyDescent="0.25">
      <c r="A9">
        <v>8</v>
      </c>
      <c r="F9">
        <f>_xlfn.HYPGEOM.DIST($A9,$C$1,'Benchmarks by Card Role'!D$2,99,FALSE)</f>
        <v>2.5070814077130382E-5</v>
      </c>
      <c r="G9">
        <f>_xlfn.HYPGEOM.DIST($A9,$C$1,'Benchmarks by Card Role'!E$2,99,FALSE)</f>
        <v>3.4187473741541476E-5</v>
      </c>
      <c r="H9">
        <f>_xlfn.HYPGEOM.DIST($A9,$C$1,'Benchmarks by Card Role'!F$2,99,FALSE)</f>
        <v>4.6078768955990714E-5</v>
      </c>
      <c r="I9">
        <f>_xlfn.HYPGEOM.DIST($A9,$C$1,'Benchmarks by Card Role'!G$2,99,FALSE)</f>
        <v>6.1438358607987506E-5</v>
      </c>
      <c r="J9">
        <f>_xlfn.HYPGEOM.DIST($A9,$C$1,'Benchmarks by Card Role'!H$2,99,FALSE)</f>
        <v>8.1098633362543661E-5</v>
      </c>
      <c r="K9">
        <f>_xlfn.HYPGEOM.DIST($A9,$C$1,'Benchmarks by Card Role'!I$2,99,FALSE)</f>
        <v>1.0605205901255704E-4</v>
      </c>
      <c r="L9">
        <f>_xlfn.HYPGEOM.DIST($A9,$C$1,'Benchmarks by Card Role'!J$2,99,FALSE)</f>
        <v>1.374748913125741E-4</v>
      </c>
      <c r="M9">
        <f>_xlfn.HYPGEOM.DIST($A9,$C$1,'Benchmarks by Card Role'!K$2,99,FALSE)</f>
        <v>1.7675343168759491E-4</v>
      </c>
      <c r="N9">
        <f>_xlfn.HYPGEOM.DIST($A9,$C$1,'Benchmarks by Card Role'!L$2,99,FALSE)</f>
        <v>2.2551299904969018E-4</v>
      </c>
      <c r="P9">
        <f>_xlfn.HYPGEOM.DIST($A9,$C$1,'Benchmarks by Card Role'!D$12,99,FALSE)</f>
        <v>0</v>
      </c>
      <c r="Q9">
        <f>_xlfn.HYPGEOM.DIST($A9,$C$1,'Benchmarks by Card Role'!E$12,99,FALSE)</f>
        <v>5.8410920593620145E-12</v>
      </c>
      <c r="R9">
        <f>_xlfn.HYPGEOM.DIST($A9,$C$1,'Benchmarks by Card Role'!F$12,99,FALSE)</f>
        <v>5.2569828534258093E-11</v>
      </c>
      <c r="S9">
        <f>_xlfn.HYPGEOM.DIST($A9,$C$1,'Benchmarks by Card Role'!G$12,99,FALSE)</f>
        <v>2.6284914267129182E-10</v>
      </c>
      <c r="T9">
        <f>_xlfn.HYPGEOM.DIST($A9,$C$1,'Benchmarks by Card Role'!H$12,99,FALSE)</f>
        <v>9.6378018979473407E-10</v>
      </c>
      <c r="U9">
        <f>_xlfn.HYPGEOM.DIST($A9,$C$1,'Benchmarks by Card Role'!I$12,99,FALSE)</f>
        <v>2.8913405693842028E-9</v>
      </c>
      <c r="V9">
        <f>_xlfn.HYPGEOM.DIST($A9,$C$1,'Benchmarks by Card Role'!J$12,99,FALSE)</f>
        <v>7.5174854803989178E-9</v>
      </c>
      <c r="W9">
        <f>_xlfn.HYPGEOM.DIST($A9,$C$1,'Benchmarks by Card Role'!K$12,99,FALSE)</f>
        <v>1.7540799454264134E-8</v>
      </c>
      <c r="X9">
        <f>_xlfn.HYPGEOM.DIST($A9,$C$1,'Benchmarks by Card Role'!L$12,99,FALSE)</f>
        <v>3.7587427401994595E-8</v>
      </c>
      <c r="Z9">
        <f>_xlfn.HYPGEOM.DIST($A9,$C$1,'Benchmarks by Card Role'!D$22,99,FALSE)</f>
        <v>0</v>
      </c>
      <c r="AA9">
        <f>_xlfn.HYPGEOM.DIST($A9,$C$1,'Benchmarks by Card Role'!E$22,99,FALSE)</f>
        <v>5.8410920593620145E-12</v>
      </c>
      <c r="AB9">
        <f>_xlfn.HYPGEOM.DIST($A9,$C$1,'Benchmarks by Card Role'!F$22,99,FALSE)</f>
        <v>5.2569828534258093E-11</v>
      </c>
      <c r="AC9">
        <f>_xlfn.HYPGEOM.DIST($A9,$C$1,'Benchmarks by Card Role'!G$22,99,FALSE)</f>
        <v>2.6284914267129182E-10</v>
      </c>
      <c r="AD9">
        <f>_xlfn.HYPGEOM.DIST($A9,$C$1,'Benchmarks by Card Role'!H$22,99,FALSE)</f>
        <v>9.6378018979473407E-10</v>
      </c>
      <c r="AE9">
        <f>_xlfn.HYPGEOM.DIST($A9,$C$1,'Benchmarks by Card Role'!I$22,99,FALSE)</f>
        <v>2.8913405693842028E-9</v>
      </c>
      <c r="AF9">
        <f>_xlfn.HYPGEOM.DIST($A9,$C$1,'Benchmarks by Card Role'!J$22,99,FALSE)</f>
        <v>7.5174854803989178E-9</v>
      </c>
      <c r="AG9">
        <f>_xlfn.HYPGEOM.DIST($A9,$C$1,'Benchmarks by Card Role'!K$22,99,FALSE)</f>
        <v>1.7540799454264134E-8</v>
      </c>
      <c r="AH9">
        <f>_xlfn.HYPGEOM.DIST($A9,$C$1,'Benchmarks by Card Role'!L$22,99,FALSE)</f>
        <v>3.7587427401994595E-8</v>
      </c>
      <c r="AJ9">
        <f>_xlfn.HYPGEOM.DIST($A9,$C$1,'Benchmarks by Card Role'!D$32,99,FALSE)</f>
        <v>0</v>
      </c>
      <c r="AK9">
        <f>_xlfn.HYPGEOM.DIST($A9,$C$1,'Benchmarks by Card Role'!E$32,99,FALSE)</f>
        <v>0</v>
      </c>
      <c r="AL9">
        <f>_xlfn.HYPGEOM.DIST($A9,$C$1,'Benchmarks by Card Role'!F$32,99,FALSE)</f>
        <v>0</v>
      </c>
      <c r="AM9">
        <f>_xlfn.HYPGEOM.DIST($A9,$C$1,'Benchmarks by Card Role'!G$32,99,FALSE)</f>
        <v>0</v>
      </c>
      <c r="AN9">
        <f>_xlfn.HYPGEOM.DIST($A9,$C$1,'Benchmarks by Card Role'!H$32,99,FALSE)</f>
        <v>0</v>
      </c>
      <c r="AO9">
        <f>_xlfn.HYPGEOM.DIST($A9,$C$1,'Benchmarks by Card Role'!I$32,99,FALSE)</f>
        <v>0</v>
      </c>
      <c r="AP9">
        <f>_xlfn.HYPGEOM.DIST($A9,$C$1,'Benchmarks by Card Role'!J$32,99,FALSE)</f>
        <v>0</v>
      </c>
      <c r="AQ9">
        <f>_xlfn.HYPGEOM.DIST($A9,$C$1,'Benchmarks by Card Role'!K$32,99,FALSE)</f>
        <v>0</v>
      </c>
      <c r="AR9">
        <f>_xlfn.HYPGEOM.DIST($A9,$C$1,'Benchmarks by Card Role'!L$32,99,FALSE)</f>
        <v>5.8410920593620145E-12</v>
      </c>
      <c r="AT9">
        <f>_xlfn.HYPGEOM.DIST($A9,$C$1,'Benchmarks by Card Role'!D$42,99,FALSE)</f>
        <v>5.2569828534258093E-11</v>
      </c>
      <c r="AU9">
        <f>_xlfn.HYPGEOM.DIST($A9,$C$1,'Benchmarks by Card Role'!E$42,99,FALSE)</f>
        <v>2.6284914267129182E-10</v>
      </c>
      <c r="AV9">
        <f>_xlfn.HYPGEOM.DIST($A9,$C$1,'Benchmarks by Card Role'!F$42,99,FALSE)</f>
        <v>9.6378018979473407E-10</v>
      </c>
      <c r="AW9">
        <f>_xlfn.HYPGEOM.DIST($A9,$C$1,'Benchmarks by Card Role'!G$42,99,FALSE)</f>
        <v>2.8913405693842028E-9</v>
      </c>
      <c r="AX9">
        <f>_xlfn.HYPGEOM.DIST($A9,$C$1,'Benchmarks by Card Role'!H$42,99,FALSE)</f>
        <v>7.5174854803989178E-9</v>
      </c>
      <c r="AY9">
        <f>_xlfn.HYPGEOM.DIST($A9,$C$1,'Benchmarks by Card Role'!I$42,99,FALSE)</f>
        <v>1.7540799454264134E-8</v>
      </c>
      <c r="AZ9">
        <f>_xlfn.HYPGEOM.DIST($A9,$C$1,'Benchmarks by Card Role'!J$42,99,FALSE)</f>
        <v>3.7587427401994595E-8</v>
      </c>
      <c r="BA9">
        <f>_xlfn.HYPGEOM.DIST($A9,$C$1,'Benchmarks by Card Role'!K$42,99,FALSE)</f>
        <v>7.5174854803989138E-8</v>
      </c>
      <c r="BB9">
        <f>_xlfn.HYPGEOM.DIST($A9,$C$1,'Benchmarks by Card Role'!L$42,99,FALSE)</f>
        <v>1.419969479630909E-7</v>
      </c>
    </row>
    <row r="10" spans="1:54" x14ac:dyDescent="0.25">
      <c r="F10">
        <f>SUM(F1*$A$1,F2*$A$2,F3*$A$3,F4*$A$4,F5*$A$5,F6*$A$6,F7*$A$7,F8*$A$8,F9*$A$9)</f>
        <v>2.3434343434343452</v>
      </c>
      <c r="G10">
        <f t="shared" ref="G10:N10" si="0">SUM(G1*$A$1,G2*$A$2,G3*$A$3,G4*$A$4,G5*$A$5,G6*$A$6,G7*$A$7,G8*$A$8,G9*$A$9)</f>
        <v>2.4242424242424256</v>
      </c>
      <c r="H10">
        <f t="shared" si="0"/>
        <v>2.505050505050507</v>
      </c>
      <c r="I10">
        <f t="shared" si="0"/>
        <v>2.5858585858585861</v>
      </c>
      <c r="J10">
        <f t="shared" si="0"/>
        <v>2.6666666666666679</v>
      </c>
      <c r="K10">
        <f t="shared" si="0"/>
        <v>2.7474747474747492</v>
      </c>
      <c r="L10">
        <f t="shared" si="0"/>
        <v>2.8282828282828296</v>
      </c>
      <c r="M10">
        <f t="shared" si="0"/>
        <v>2.9090909090909101</v>
      </c>
      <c r="N10">
        <f t="shared" si="0"/>
        <v>2.9898989898989905</v>
      </c>
      <c r="P10">
        <f>SUM(P1*$A$1,P2*$A$2,P3*$A$3,P4*$A$4,P5*$A$5,P6*$A$6,P7*$A$7,P8*$A$8,P9*$A$9)</f>
        <v>0.56565656565656552</v>
      </c>
      <c r="Q10">
        <f t="shared" ref="Q10:X10" si="1">SUM(Q1*$A$1,Q2*$A$2,Q3*$A$3,Q4*$A$4,Q5*$A$5,Q6*$A$6,Q7*$A$7,Q8*$A$8,Q9*$A$9)</f>
        <v>0.64646464646464641</v>
      </c>
      <c r="R10">
        <f t="shared" si="1"/>
        <v>0.72727272727272718</v>
      </c>
      <c r="S10">
        <f t="shared" si="1"/>
        <v>0.80808080808080784</v>
      </c>
      <c r="T10">
        <f t="shared" si="1"/>
        <v>0.88888888888888895</v>
      </c>
      <c r="U10">
        <f t="shared" si="1"/>
        <v>0.96969696969696972</v>
      </c>
      <c r="V10">
        <f t="shared" si="1"/>
        <v>1.0505050505050499</v>
      </c>
      <c r="W10">
        <f t="shared" si="1"/>
        <v>1.131313131313131</v>
      </c>
      <c r="X10">
        <f t="shared" si="1"/>
        <v>1.2121212121212119</v>
      </c>
      <c r="Z10">
        <f>SUM(Z1*$A$1,Z2*$A$2,Z3*$A$3,Z4*$A$4,Z5*$A$5,Z6*$A$6,Z7*$A$7,Z8*$A$8,Z9*$A$9)</f>
        <v>0.56565656565656552</v>
      </c>
      <c r="AA10">
        <f t="shared" ref="AA10" si="2">SUM(AA1*$A$1,AA2*$A$2,AA3*$A$3,AA4*$A$4,AA5*$A$5,AA6*$A$6,AA7*$A$7,AA8*$A$8,AA9*$A$9)</f>
        <v>0.64646464646464641</v>
      </c>
      <c r="AB10">
        <f t="shared" ref="AB10" si="3">SUM(AB1*$A$1,AB2*$A$2,AB3*$A$3,AB4*$A$4,AB5*$A$5,AB6*$A$6,AB7*$A$7,AB8*$A$8,AB9*$A$9)</f>
        <v>0.72727272727272718</v>
      </c>
      <c r="AC10">
        <f t="shared" ref="AC10" si="4">SUM(AC1*$A$1,AC2*$A$2,AC3*$A$3,AC4*$A$4,AC5*$A$5,AC6*$A$6,AC7*$A$7,AC8*$A$8,AC9*$A$9)</f>
        <v>0.80808080808080784</v>
      </c>
      <c r="AD10">
        <f t="shared" ref="AD10" si="5">SUM(AD1*$A$1,AD2*$A$2,AD3*$A$3,AD4*$A$4,AD5*$A$5,AD6*$A$6,AD7*$A$7,AD8*$A$8,AD9*$A$9)</f>
        <v>0.88888888888888895</v>
      </c>
      <c r="AE10">
        <f t="shared" ref="AE10" si="6">SUM(AE1*$A$1,AE2*$A$2,AE3*$A$3,AE4*$A$4,AE5*$A$5,AE6*$A$6,AE7*$A$7,AE8*$A$8,AE9*$A$9)</f>
        <v>0.96969696969696972</v>
      </c>
      <c r="AF10">
        <f t="shared" ref="AF10" si="7">SUM(AF1*$A$1,AF2*$A$2,AF3*$A$3,AF4*$A$4,AF5*$A$5,AF6*$A$6,AF7*$A$7,AF8*$A$8,AF9*$A$9)</f>
        <v>1.0505050505050499</v>
      </c>
      <c r="AG10">
        <f t="shared" ref="AG10" si="8">SUM(AG1*$A$1,AG2*$A$2,AG3*$A$3,AG4*$A$4,AG5*$A$5,AG6*$A$6,AG7*$A$7,AG8*$A$8,AG9*$A$9)</f>
        <v>1.131313131313131</v>
      </c>
      <c r="AH10">
        <f t="shared" ref="AH10" si="9">SUM(AH1*$A$1,AH2*$A$2,AH3*$A$3,AH4*$A$4,AH5*$A$5,AH6*$A$6,AH7*$A$7,AH8*$A$8,AH9*$A$9)</f>
        <v>1.2121212121212119</v>
      </c>
      <c r="AJ10">
        <f>SUM(AJ1*$A$1,AJ2*$A$2,AJ3*$A$3,AJ4*$A$4,AJ5*$A$5,AJ6*$A$6,AJ7*$A$7,AJ8*$A$8,AJ9*$A$9)</f>
        <v>0</v>
      </c>
      <c r="AK10">
        <f t="shared" ref="AK10:AR10" si="10">SUM(AK1*$A$1,AK2*$A$2,AK3*$A$3,AK4*$A$4,AK5*$A$5,AK6*$A$6,AK7*$A$7,AK8*$A$8,AK9*$A$9)</f>
        <v>8.0808080808080815E-2</v>
      </c>
      <c r="AL10">
        <f t="shared" si="10"/>
        <v>0.16161616161616157</v>
      </c>
      <c r="AM10">
        <f t="shared" si="10"/>
        <v>0.24242424242424235</v>
      </c>
      <c r="AN10">
        <f t="shared" si="10"/>
        <v>0.32323232323232309</v>
      </c>
      <c r="AO10">
        <f t="shared" si="10"/>
        <v>0.40404040404040403</v>
      </c>
      <c r="AP10">
        <f t="shared" si="10"/>
        <v>0.48484848484848497</v>
      </c>
      <c r="AQ10">
        <f t="shared" si="10"/>
        <v>0.56565656565656552</v>
      </c>
      <c r="AR10">
        <f t="shared" si="10"/>
        <v>0.64646464646464641</v>
      </c>
      <c r="AT10">
        <f>SUM(AT1*$A$1,AT2*$A$2,AT3*$A$3,AT4*$A$4,AT5*$A$5,AT6*$A$6,AT7*$A$7,AT8*$A$8,AT9*$A$9)</f>
        <v>0.72727272727272718</v>
      </c>
      <c r="AU10">
        <f t="shared" ref="AU10:BB10" si="11">SUM(AU1*$A$1,AU2*$A$2,AU3*$A$3,AU4*$A$4,AU5*$A$5,AU6*$A$6,AU7*$A$7,AU8*$A$8,AU9*$A$9)</f>
        <v>0.80808080808080784</v>
      </c>
      <c r="AV10">
        <f t="shared" si="11"/>
        <v>0.88888888888888895</v>
      </c>
      <c r="AW10">
        <f t="shared" si="11"/>
        <v>0.96969696969696972</v>
      </c>
      <c r="AX10">
        <f t="shared" si="11"/>
        <v>1.0505050505050499</v>
      </c>
      <c r="AY10">
        <f t="shared" si="11"/>
        <v>1.131313131313131</v>
      </c>
      <c r="AZ10">
        <f t="shared" si="11"/>
        <v>1.2121212121212119</v>
      </c>
      <c r="BA10">
        <f t="shared" si="11"/>
        <v>1.2929292929292935</v>
      </c>
      <c r="BB10">
        <f t="shared" si="11"/>
        <v>1.3737373737373739</v>
      </c>
    </row>
    <row r="12" spans="1:54" x14ac:dyDescent="0.25">
      <c r="F12">
        <f>_xlfn.HYPGEOM.DIST($A1,$C$2,'Benchmarks by Card Role'!D$2,99,FALSE)</f>
        <v>3.7569246652494399E-2</v>
      </c>
      <c r="G12">
        <f>_xlfn.HYPGEOM.DIST($A1,$C$2,'Benchmarks by Card Role'!E$2,99,FALSE)</f>
        <v>3.2738914940030804E-2</v>
      </c>
      <c r="H12">
        <f>_xlfn.HYPGEOM.DIST($A1,$C$2,'Benchmarks by Card Role'!F$2,99,FALSE)</f>
        <v>2.8468621686983317E-2</v>
      </c>
      <c r="I12">
        <f>_xlfn.HYPGEOM.DIST($A1,$C$2,'Benchmarks by Card Role'!G$2,99,FALSE)</f>
        <v>2.4700715875470802E-2</v>
      </c>
      <c r="J12">
        <f>_xlfn.HYPGEOM.DIST($A1,$C$2,'Benchmarks by Card Role'!H$2,99,FALSE)</f>
        <v>2.1382709265332936E-2</v>
      </c>
      <c r="K12">
        <f>_xlfn.HYPGEOM.DIST($A1,$C$2,'Benchmarks by Card Role'!I$2,99,FALSE)</f>
        <v>1.8466885274605726E-2</v>
      </c>
      <c r="L12">
        <f>_xlfn.HYPGEOM.DIST($A1,$C$2,'Benchmarks by Card Role'!J$2,99,FALSE)</f>
        <v>1.5909931928891074E-2</v>
      </c>
      <c r="M12">
        <f>_xlfn.HYPGEOM.DIST($A1,$C$2,'Benchmarks by Card Role'!K$2,99,FALSE)</f>
        <v>1.3672597751390774E-2</v>
      </c>
      <c r="N12">
        <f>_xlfn.HYPGEOM.DIST($A1,$C$2,'Benchmarks by Card Role'!L$2,99,FALSE)</f>
        <v>1.17193695011921E-2</v>
      </c>
      <c r="P12">
        <f>_xlfn.HYPGEOM.DIST($A1,$C$2,'Benchmarks by Card Role'!D$12,99,FALSE)</f>
        <v>0.5018714132443165</v>
      </c>
      <c r="Q12">
        <f>_xlfn.HYPGEOM.DIST($A1,$C$2,'Benchmarks by Card Role'!E$12,99,FALSE)</f>
        <v>0.45277529673128553</v>
      </c>
      <c r="R12">
        <f>_xlfn.HYPGEOM.DIST($A1,$C$2,'Benchmarks by Card Role'!F$12,99,FALSE)</f>
        <v>0.40799532232929031</v>
      </c>
      <c r="S12">
        <f>_xlfn.HYPGEOM.DIST($A1,$C$2,'Benchmarks by Card Role'!G$12,99,FALSE)</f>
        <v>0.3671957900963615</v>
      </c>
      <c r="T12">
        <f>_xlfn.HYPGEOM.DIST($A1,$C$2,'Benchmarks by Card Role'!H$12,99,FALSE)</f>
        <v>0.33006363154729118</v>
      </c>
      <c r="U12">
        <f>_xlfn.HYPGEOM.DIST($A1,$C$2,'Benchmarks by Card Role'!I$12,99,FALSE)</f>
        <v>0.29630712377540902</v>
      </c>
      <c r="V12">
        <f>_xlfn.HYPGEOM.DIST($A1,$C$2,'Benchmarks by Card Role'!J$12,99,FALSE)</f>
        <v>0.26565466269519428</v>
      </c>
      <c r="W12">
        <f>_xlfn.HYPGEOM.DIST($A1,$C$2,'Benchmarks by Card Role'!K$12,99,FALSE)</f>
        <v>0.23785359334337178</v>
      </c>
      <c r="X12">
        <f>_xlfn.HYPGEOM.DIST($A1,$C$2,'Benchmarks by Card Role'!L$12,99,FALSE)</f>
        <v>0.21266909522466176</v>
      </c>
      <c r="Z12">
        <f>_xlfn.HYPGEOM.DIST($A1,$C$2,'Benchmarks by Card Role'!D$22,99,FALSE)</f>
        <v>0.5018714132443165</v>
      </c>
      <c r="AA12">
        <f>_xlfn.HYPGEOM.DIST($A1,$C$2,'Benchmarks by Card Role'!E$22,99,FALSE)</f>
        <v>0.45277529673128553</v>
      </c>
      <c r="AB12">
        <f>_xlfn.HYPGEOM.DIST($A1,$C$2,'Benchmarks by Card Role'!F$22,99,FALSE)</f>
        <v>0.40799532232929031</v>
      </c>
      <c r="AC12">
        <f>_xlfn.HYPGEOM.DIST($A1,$C$2,'Benchmarks by Card Role'!G$22,99,FALSE)</f>
        <v>0.3671957900963615</v>
      </c>
      <c r="AD12">
        <f>_xlfn.HYPGEOM.DIST($A1,$C$2,'Benchmarks by Card Role'!H$22,99,FALSE)</f>
        <v>0.33006363154729118</v>
      </c>
      <c r="AE12">
        <f>_xlfn.HYPGEOM.DIST($A1,$C$2,'Benchmarks by Card Role'!I$22,99,FALSE)</f>
        <v>0.29630712377540902</v>
      </c>
      <c r="AF12">
        <f>_xlfn.HYPGEOM.DIST($A1,$C$2,'Benchmarks by Card Role'!J$22,99,FALSE)</f>
        <v>0.26565466269519428</v>
      </c>
      <c r="AG12">
        <f>_xlfn.HYPGEOM.DIST($A1,$C$2,'Benchmarks by Card Role'!K$22,99,FALSE)</f>
        <v>0.23785359334337178</v>
      </c>
      <c r="AH12">
        <f>_xlfn.HYPGEOM.DIST($A1,$C$2,'Benchmarks by Card Role'!L$22,99,FALSE)</f>
        <v>0.21266909522466176</v>
      </c>
      <c r="AJ12">
        <f>_xlfn.HYPGEOM.DIST($A1,$C$2,'Benchmarks by Card Role'!D$32,99,FALSE)</f>
        <v>1</v>
      </c>
      <c r="AK12">
        <f>_xlfn.HYPGEOM.DIST($A1,$C$2,'Benchmarks by Card Role'!E$32,99,FALSE)</f>
        <v>0.90909090909090917</v>
      </c>
      <c r="AL12">
        <f>_xlfn.HYPGEOM.DIST($A1,$C$2,'Benchmarks by Card Role'!F$32,99,FALSE)</f>
        <v>0.82560296846011116</v>
      </c>
      <c r="AM12">
        <f>_xlfn.HYPGEOM.DIST($A1,$C$2,'Benchmarks by Card Role'!G$32,99,FALSE)</f>
        <v>0.74900063118030713</v>
      </c>
      <c r="AN12">
        <f>_xlfn.HYPGEOM.DIST($A1,$C$2,'Benchmarks by Card Role'!H$32,99,FALSE)</f>
        <v>0.67878182200715353</v>
      </c>
      <c r="AO12">
        <f>_xlfn.HYPGEOM.DIST($A1,$C$2,'Benchmarks by Card Role'!I$32,99,FALSE)</f>
        <v>0.61447617571173885</v>
      </c>
      <c r="AP12">
        <f>_xlfn.HYPGEOM.DIST($A1,$C$2,'Benchmarks by Card Role'!J$32,99,FALSE)</f>
        <v>0.55564335037763635</v>
      </c>
      <c r="AQ12">
        <f>_xlfn.HYPGEOM.DIST($A1,$C$2,'Benchmarks by Card Role'!K$32,99,FALSE)</f>
        <v>0.5018714132443165</v>
      </c>
      <c r="AR12">
        <f>_xlfn.HYPGEOM.DIST($A1,$C$2,'Benchmarks by Card Role'!L$32,99,FALSE)</f>
        <v>0.45277529673128553</v>
      </c>
      <c r="AT12">
        <f>_xlfn.HYPGEOM.DIST($A1,$C$2,'Benchmarks by Card Role'!D$42,99,FALSE)</f>
        <v>0.40799532232929031</v>
      </c>
      <c r="AU12">
        <f>_xlfn.HYPGEOM.DIST($A1,$C$2,'Benchmarks by Card Role'!E$42,99,FALSE)</f>
        <v>0.3671957900963615</v>
      </c>
      <c r="AV12">
        <f>_xlfn.HYPGEOM.DIST($A1,$C$2,'Benchmarks by Card Role'!F$42,99,FALSE)</f>
        <v>0.33006363154729118</v>
      </c>
      <c r="AW12">
        <f>_xlfn.HYPGEOM.DIST($A1,$C$2,'Benchmarks by Card Role'!G$42,99,FALSE)</f>
        <v>0.29630712377540902</v>
      </c>
      <c r="AX12">
        <f>_xlfn.HYPGEOM.DIST($A1,$C$2,'Benchmarks by Card Role'!H$42,99,FALSE)</f>
        <v>0.26565466269519428</v>
      </c>
      <c r="AY12">
        <f>_xlfn.HYPGEOM.DIST($A1,$C$2,'Benchmarks by Card Role'!I$42,99,FALSE)</f>
        <v>0.23785359334337178</v>
      </c>
      <c r="AZ12">
        <f>_xlfn.HYPGEOM.DIST($A1,$C$2,'Benchmarks by Card Role'!J$42,99,FALSE)</f>
        <v>0.21266909522466176</v>
      </c>
      <c r="BA12">
        <f>_xlfn.HYPGEOM.DIST($A1,$C$2,'Benchmarks by Card Role'!K$42,99,FALSE)</f>
        <v>0.18988312073630509</v>
      </c>
      <c r="BB12">
        <f>_xlfn.HYPGEOM.DIST($A1,$C$2,'Benchmarks by Card Role'!L$42,99,FALSE)</f>
        <v>0.16929338475285038</v>
      </c>
    </row>
    <row r="13" spans="1:54" x14ac:dyDescent="0.25">
      <c r="F13">
        <f>_xlfn.HYPGEOM.DIST($A2,$C$2,'Benchmarks by Card Role'!D$2,99,FALSE)</f>
        <v>0.15815440929517796</v>
      </c>
      <c r="G13">
        <f>_xlfn.HYPGEOM.DIST($A2,$C$2,'Benchmarks by Card Role'!E$2,99,FALSE)</f>
        <v>0.14490995137390683</v>
      </c>
      <c r="H13">
        <f>_xlfn.HYPGEOM.DIST($A2,$C$2,'Benchmarks by Card Role'!F$2,99,FALSE)</f>
        <v>0.13237909084447239</v>
      </c>
      <c r="I13">
        <f>_xlfn.HYPGEOM.DIST($A2,$C$2,'Benchmarks by Card Role'!G$2,99,FALSE)</f>
        <v>0.12057298596839984</v>
      </c>
      <c r="J13">
        <f>_xlfn.HYPGEOM.DIST($A2,$C$2,'Benchmarks by Card Role'!H$2,99,FALSE)</f>
        <v>0.10949421813454976</v>
      </c>
      <c r="K13">
        <f>_xlfn.HYPGEOM.DIST($A2,$C$2,'Benchmarks by Card Role'!I$2,99,FALSE)</f>
        <v>9.9138015684725425E-2</v>
      </c>
      <c r="L13">
        <f>_xlfn.HYPGEOM.DIST($A2,$C$2,'Benchmarks by Card Role'!J$2,99,FALSE)</f>
        <v>8.9493367100012294E-2</v>
      </c>
      <c r="M13">
        <f>_xlfn.HYPGEOM.DIST($A2,$C$2,'Benchmarks by Card Role'!K$2,99,FALSE)</f>
        <v>8.0544030390011095E-2</v>
      </c>
      <c r="N13">
        <f>_xlfn.HYPGEOM.DIST($A2,$C$2,'Benchmarks by Card Role'!L$2,99,FALSE)</f>
        <v>7.2269445257351239E-2</v>
      </c>
      <c r="P13">
        <f>_xlfn.HYPGEOM.DIST($A2,$C$2,'Benchmarks by Card Role'!D$12,99,FALSE)</f>
        <v>0.37640355993323743</v>
      </c>
      <c r="Q13">
        <f>_xlfn.HYPGEOM.DIST($A2,$C$2,'Benchmarks by Card Role'!E$12,99,FALSE)</f>
        <v>0.39276893210424768</v>
      </c>
      <c r="R13">
        <f>_xlfn.HYPGEOM.DIST($A2,$C$2,'Benchmarks by Card Role'!F$12,99,FALSE)</f>
        <v>0.40301976961795749</v>
      </c>
      <c r="S13">
        <f>_xlfn.HYPGEOM.DIST($A2,$C$2,'Benchmarks by Card Role'!G$12,99,FALSE)</f>
        <v>0.4079953223292902</v>
      </c>
      <c r="T13">
        <f>_xlfn.HYPGEOM.DIST($A2,$C$2,'Benchmarks by Card Role'!H$12,99,FALSE)</f>
        <v>0.40845374403977286</v>
      </c>
      <c r="U13">
        <f>_xlfn.HYPGEOM.DIST($A2,$C$2,'Benchmarks by Card Role'!I$12,99,FALSE)</f>
        <v>0.40507809326258448</v>
      </c>
      <c r="V13">
        <f>_xlfn.HYPGEOM.DIST($A2,$C$2,'Benchmarks by Card Role'!J$12,99,FALSE)</f>
        <v>0.39848199404279133</v>
      </c>
      <c r="W13">
        <f>_xlfn.HYPGEOM.DIST($A2,$C$2,'Benchmarks by Card Role'!K$12,99,FALSE)</f>
        <v>0.3892149709255171</v>
      </c>
      <c r="X13">
        <f>_xlfn.HYPGEOM.DIST($A2,$C$2,'Benchmarks by Card Role'!L$12,99,FALSE)</f>
        <v>0.37776747178064901</v>
      </c>
      <c r="Z13">
        <f>_xlfn.HYPGEOM.DIST($A2,$C$2,'Benchmarks by Card Role'!D$22,99,FALSE)</f>
        <v>0.37640355993323743</v>
      </c>
      <c r="AA13">
        <f>_xlfn.HYPGEOM.DIST($A2,$C$2,'Benchmarks by Card Role'!E$22,99,FALSE)</f>
        <v>0.39276893210424768</v>
      </c>
      <c r="AB13">
        <f>_xlfn.HYPGEOM.DIST($A2,$C$2,'Benchmarks by Card Role'!F$22,99,FALSE)</f>
        <v>0.40301976961795749</v>
      </c>
      <c r="AC13">
        <f>_xlfn.HYPGEOM.DIST($A2,$C$2,'Benchmarks by Card Role'!G$22,99,FALSE)</f>
        <v>0.4079953223292902</v>
      </c>
      <c r="AD13">
        <f>_xlfn.HYPGEOM.DIST($A2,$C$2,'Benchmarks by Card Role'!H$22,99,FALSE)</f>
        <v>0.40845374403977286</v>
      </c>
      <c r="AE13">
        <f>_xlfn.HYPGEOM.DIST($A2,$C$2,'Benchmarks by Card Role'!I$22,99,FALSE)</f>
        <v>0.40507809326258448</v>
      </c>
      <c r="AF13">
        <f>_xlfn.HYPGEOM.DIST($A2,$C$2,'Benchmarks by Card Role'!J$22,99,FALSE)</f>
        <v>0.39848199404279133</v>
      </c>
      <c r="AG13">
        <f>_xlfn.HYPGEOM.DIST($A2,$C$2,'Benchmarks by Card Role'!K$22,99,FALSE)</f>
        <v>0.3892149709255171</v>
      </c>
      <c r="AH13">
        <f>_xlfn.HYPGEOM.DIST($A2,$C$2,'Benchmarks by Card Role'!L$22,99,FALSE)</f>
        <v>0.37776747178064901</v>
      </c>
      <c r="AJ13">
        <f>_xlfn.HYPGEOM.DIST($A2,$C$2,'Benchmarks by Card Role'!D$32,99,FALSE)</f>
        <v>0</v>
      </c>
      <c r="AK13">
        <f>_xlfn.HYPGEOM.DIST($A2,$C$2,'Benchmarks by Card Role'!E$32,99,FALSE)</f>
        <v>9.0909090909090912E-2</v>
      </c>
      <c r="AL13">
        <f>_xlfn.HYPGEOM.DIST($A2,$C$2,'Benchmarks by Card Role'!F$32,99,FALSE)</f>
        <v>0.1669758812615956</v>
      </c>
      <c r="AM13">
        <f>_xlfn.HYPGEOM.DIST($A2,$C$2,'Benchmarks by Card Role'!G$32,99,FALSE)</f>
        <v>0.22980701183941241</v>
      </c>
      <c r="AN13">
        <f>_xlfn.HYPGEOM.DIST($A2,$C$2,'Benchmarks by Card Role'!H$32,99,FALSE)</f>
        <v>0.28087523669261516</v>
      </c>
      <c r="AO13">
        <f>_xlfn.HYPGEOM.DIST($A2,$C$2,'Benchmarks by Card Role'!I$32,99,FALSE)</f>
        <v>0.32152823147707282</v>
      </c>
      <c r="AP13">
        <f>_xlfn.HYPGEOM.DIST($A2,$C$2,'Benchmarks by Card Role'!J$32,99,FALSE)</f>
        <v>0.35299695200461595</v>
      </c>
      <c r="AQ13">
        <f>_xlfn.HYPGEOM.DIST($A2,$C$2,'Benchmarks by Card Role'!K$32,99,FALSE)</f>
        <v>0.37640355993323743</v>
      </c>
      <c r="AR13">
        <f>_xlfn.HYPGEOM.DIST($A2,$C$2,'Benchmarks by Card Role'!L$32,99,FALSE)</f>
        <v>0.39276893210424768</v>
      </c>
      <c r="AT13">
        <f>_xlfn.HYPGEOM.DIST($A2,$C$2,'Benchmarks by Card Role'!D$42,99,FALSE)</f>
        <v>0.40301976961795749</v>
      </c>
      <c r="AU13">
        <f>_xlfn.HYPGEOM.DIST($A2,$C$2,'Benchmarks by Card Role'!E$42,99,FALSE)</f>
        <v>0.4079953223292902</v>
      </c>
      <c r="AV13">
        <f>_xlfn.HYPGEOM.DIST($A2,$C$2,'Benchmarks by Card Role'!F$42,99,FALSE)</f>
        <v>0.40845374403977286</v>
      </c>
      <c r="AW13">
        <f>_xlfn.HYPGEOM.DIST($A2,$C$2,'Benchmarks by Card Role'!G$42,99,FALSE)</f>
        <v>0.40507809326258448</v>
      </c>
      <c r="AX13">
        <f>_xlfn.HYPGEOM.DIST($A2,$C$2,'Benchmarks by Card Role'!H$42,99,FALSE)</f>
        <v>0.39848199404279133</v>
      </c>
      <c r="AY13">
        <f>_xlfn.HYPGEOM.DIST($A2,$C$2,'Benchmarks by Card Role'!I$42,99,FALSE)</f>
        <v>0.3892149709255171</v>
      </c>
      <c r="AZ13">
        <f>_xlfn.HYPGEOM.DIST($A2,$C$2,'Benchmarks by Card Role'!J$42,99,FALSE)</f>
        <v>0.37776747178064901</v>
      </c>
      <c r="BA13">
        <f>_xlfn.HYPGEOM.DIST($A2,$C$2,'Benchmarks by Card Role'!K$42,99,FALSE)</f>
        <v>0.3645755918137058</v>
      </c>
      <c r="BB13">
        <f>_xlfn.HYPGEOM.DIST($A2,$C$2,'Benchmarks by Card Role'!L$42,99,FALSE)</f>
        <v>0.35002551171873114</v>
      </c>
    </row>
    <row r="14" spans="1:54" x14ac:dyDescent="0.25">
      <c r="F14">
        <f>_xlfn.HYPGEOM.DIST($A3,$C$2,'Benchmarks by Card Role'!D$2,99,FALSE)</f>
        <v>0.28116339430253856</v>
      </c>
      <c r="G14">
        <f>_xlfn.HYPGEOM.DIST($A3,$C$2,'Benchmarks by Card Role'!E$2,99,FALSE)</f>
        <v>0.27112184450601923</v>
      </c>
      <c r="H14">
        <f>_xlfn.HYPGEOM.DIST($A3,$C$2,'Benchmarks by Card Role'!F$2,99,FALSE)</f>
        <v>0.26041788362847018</v>
      </c>
      <c r="I14">
        <f>_xlfn.HYPGEOM.DIST($A3,$C$2,'Benchmarks by Card Role'!G$2,99,FALSE)</f>
        <v>0.24918417100135973</v>
      </c>
      <c r="J14">
        <f>_xlfn.HYPGEOM.DIST($A3,$C$2,'Benchmarks by Card Role'!H$2,99,FALSE)</f>
        <v>0.23754677832580259</v>
      </c>
      <c r="K14">
        <f>_xlfn.HYPGEOM.DIST($A3,$C$2,'Benchmarks by Card Role'!I$2,99,FALSE)</f>
        <v>0.22562444948937529</v>
      </c>
      <c r="L14">
        <f>_xlfn.HYPGEOM.DIST($A3,$C$2,'Benchmarks by Card Role'!J$2,99,FALSE)</f>
        <v>0.21352803378248553</v>
      </c>
      <c r="M14">
        <f>_xlfn.HYPGEOM.DIST($A3,$C$2,'Benchmarks by Card Role'!K$2,99,FALSE)</f>
        <v>0.2013600759750275</v>
      </c>
      <c r="N14">
        <f>_xlfn.HYPGEOM.DIST($A3,$C$2,'Benchmarks by Card Role'!L$2,99,FALSE)</f>
        <v>0.1892145475828832</v>
      </c>
      <c r="P14">
        <f>_xlfn.HYPGEOM.DIST($A3,$C$2,'Benchmarks by Card Role'!D$12,99,FALSE)</f>
        <v>0.10627865221644349</v>
      </c>
      <c r="Q14">
        <f>_xlfn.HYPGEOM.DIST($A3,$C$2,'Benchmarks by Card Role'!E$12,99,FALSE)</f>
        <v>0.13092297736808259</v>
      </c>
      <c r="R14">
        <f>_xlfn.HYPGEOM.DIST($A3,$C$2,'Benchmarks by Card Role'!F$12,99,FALSE)</f>
        <v>0.15538111599728482</v>
      </c>
      <c r="S14">
        <f>_xlfn.HYPGEOM.DIST($A3,$C$2,'Benchmarks by Card Role'!G$12,99,FALSE)</f>
        <v>0.17911989760798108</v>
      </c>
      <c r="T14">
        <f>_xlfn.HYPGEOM.DIST($A3,$C$2,'Benchmarks by Card Role'!H$12,99,FALSE)</f>
        <v>0.20170555261223355</v>
      </c>
      <c r="U14">
        <f>_xlfn.HYPGEOM.DIST($A3,$C$2,'Benchmarks by Card Role'!I$12,99,FALSE)</f>
        <v>0.22279295129442148</v>
      </c>
      <c r="V14">
        <f>_xlfn.HYPGEOM.DIST($A3,$C$2,'Benchmarks by Card Role'!J$12,99,FALSE)</f>
        <v>0.24211564195005031</v>
      </c>
      <c r="W14">
        <f>_xlfn.HYPGEOM.DIST($A3,$C$2,'Benchmarks by Card Role'!K$12,99,FALSE)</f>
        <v>0.25947664728367797</v>
      </c>
      <c r="X14">
        <f>_xlfn.HYPGEOM.DIST($A3,$C$2,'Benchmarks by Card Role'!L$12,99,FALSE)</f>
        <v>0.27473997947683559</v>
      </c>
      <c r="Z14">
        <f>_xlfn.HYPGEOM.DIST($A3,$C$2,'Benchmarks by Card Role'!D$22,99,FALSE)</f>
        <v>0.10627865221644349</v>
      </c>
      <c r="AA14">
        <f>_xlfn.HYPGEOM.DIST($A3,$C$2,'Benchmarks by Card Role'!E$22,99,FALSE)</f>
        <v>0.13092297736808259</v>
      </c>
      <c r="AB14">
        <f>_xlfn.HYPGEOM.DIST($A3,$C$2,'Benchmarks by Card Role'!F$22,99,FALSE)</f>
        <v>0.15538111599728482</v>
      </c>
      <c r="AC14">
        <f>_xlfn.HYPGEOM.DIST($A3,$C$2,'Benchmarks by Card Role'!G$22,99,FALSE)</f>
        <v>0.17911989760798108</v>
      </c>
      <c r="AD14">
        <f>_xlfn.HYPGEOM.DIST($A3,$C$2,'Benchmarks by Card Role'!H$22,99,FALSE)</f>
        <v>0.20170555261223355</v>
      </c>
      <c r="AE14">
        <f>_xlfn.HYPGEOM.DIST($A3,$C$2,'Benchmarks by Card Role'!I$22,99,FALSE)</f>
        <v>0.22279295129442148</v>
      </c>
      <c r="AF14">
        <f>_xlfn.HYPGEOM.DIST($A3,$C$2,'Benchmarks by Card Role'!J$22,99,FALSE)</f>
        <v>0.24211564195005031</v>
      </c>
      <c r="AG14">
        <f>_xlfn.HYPGEOM.DIST($A3,$C$2,'Benchmarks by Card Role'!K$22,99,FALSE)</f>
        <v>0.25947664728367797</v>
      </c>
      <c r="AH14">
        <f>_xlfn.HYPGEOM.DIST($A3,$C$2,'Benchmarks by Card Role'!L$22,99,FALSE)</f>
        <v>0.27473997947683559</v>
      </c>
      <c r="AJ14">
        <f>_xlfn.HYPGEOM.DIST($A3,$C$2,'Benchmarks by Card Role'!D$32,99,FALSE)</f>
        <v>0</v>
      </c>
      <c r="AK14">
        <f>_xlfn.HYPGEOM.DIST($A3,$C$2,'Benchmarks by Card Role'!E$32,99,FALSE)</f>
        <v>0</v>
      </c>
      <c r="AL14">
        <f>_xlfn.HYPGEOM.DIST($A3,$C$2,'Benchmarks by Card Role'!F$32,99,FALSE)</f>
        <v>7.421150278293133E-3</v>
      </c>
      <c r="AM14">
        <f>_xlfn.HYPGEOM.DIST($A3,$C$2,'Benchmarks by Card Role'!G$32,99,FALSE)</f>
        <v>2.0656810052980892E-2</v>
      </c>
      <c r="AN14">
        <f>_xlfn.HYPGEOM.DIST($A3,$C$2,'Benchmarks by Card Role'!H$32,99,FALSE)</f>
        <v>3.8301168639902038E-2</v>
      </c>
      <c r="AO14">
        <f>_xlfn.HYPGEOM.DIST($A3,$C$2,'Benchmarks by Card Role'!I$32,99,FALSE)</f>
        <v>5.9131628777392635E-2</v>
      </c>
      <c r="AP14">
        <f>_xlfn.HYPGEOM.DIST($A3,$C$2,'Benchmarks by Card Role'!J$32,99,FALSE)</f>
        <v>8.2092314419678111E-2</v>
      </c>
      <c r="AQ14">
        <f>_xlfn.HYPGEOM.DIST($A3,$C$2,'Benchmarks by Card Role'!K$32,99,FALSE)</f>
        <v>0.10627865221644349</v>
      </c>
      <c r="AR14">
        <f>_xlfn.HYPGEOM.DIST($A3,$C$2,'Benchmarks by Card Role'!L$32,99,FALSE)</f>
        <v>0.13092297736808259</v>
      </c>
      <c r="AT14">
        <f>_xlfn.HYPGEOM.DIST($A3,$C$2,'Benchmarks by Card Role'!D$42,99,FALSE)</f>
        <v>0.15538111599728482</v>
      </c>
      <c r="AU14">
        <f>_xlfn.HYPGEOM.DIST($A3,$C$2,'Benchmarks by Card Role'!E$42,99,FALSE)</f>
        <v>0.17911989760798108</v>
      </c>
      <c r="AV14">
        <f>_xlfn.HYPGEOM.DIST($A3,$C$2,'Benchmarks by Card Role'!F$42,99,FALSE)</f>
        <v>0.20170555261223355</v>
      </c>
      <c r="AW14">
        <f>_xlfn.HYPGEOM.DIST($A3,$C$2,'Benchmarks by Card Role'!G$42,99,FALSE)</f>
        <v>0.22279295129442148</v>
      </c>
      <c r="AX14">
        <f>_xlfn.HYPGEOM.DIST($A3,$C$2,'Benchmarks by Card Role'!H$42,99,FALSE)</f>
        <v>0.24211564195005031</v>
      </c>
      <c r="AY14">
        <f>_xlfn.HYPGEOM.DIST($A3,$C$2,'Benchmarks by Card Role'!I$42,99,FALSE)</f>
        <v>0.25947664728367797</v>
      </c>
      <c r="AZ14">
        <f>_xlfn.HYPGEOM.DIST($A3,$C$2,'Benchmarks by Card Role'!J$42,99,FALSE)</f>
        <v>0.27473997947683559</v>
      </c>
      <c r="BA14">
        <f>_xlfn.HYPGEOM.DIST($A3,$C$2,'Benchmarks by Card Role'!K$42,99,FALSE)</f>
        <v>0.28782283564239924</v>
      </c>
      <c r="BB14">
        <f>_xlfn.HYPGEOM.DIST($A3,$C$2,'Benchmarks by Card Role'!L$42,99,FALSE)</f>
        <v>0.29868843666665051</v>
      </c>
    </row>
    <row r="15" spans="1:54" x14ac:dyDescent="0.25">
      <c r="F15">
        <f>_xlfn.HYPGEOM.DIST($A4,$C$2,'Benchmarks by Card Role'!D$2,99,FALSE)</f>
        <v>0.2767702162665614</v>
      </c>
      <c r="G15">
        <f>_xlfn.HYPGEOM.DIST($A4,$C$2,'Benchmarks by Card Role'!E$2,99,FALSE)</f>
        <v>0.28116339430253839</v>
      </c>
      <c r="H15">
        <f>_xlfn.HYPGEOM.DIST($A4,$C$2,'Benchmarks by Card Role'!F$2,99,FALSE)</f>
        <v>0.28421951815365298</v>
      </c>
      <c r="I15">
        <f>_xlfn.HYPGEOM.DIST($A4,$C$2,'Benchmarks by Card Role'!G$2,99,FALSE)</f>
        <v>0.28594904869008475</v>
      </c>
      <c r="J15">
        <f>_xlfn.HYPGEOM.DIST($A4,$C$2,'Benchmarks by Card Role'!H$2,99,FALSE)</f>
        <v>0.28637583831499569</v>
      </c>
      <c r="K15">
        <f>_xlfn.HYPGEOM.DIST($A4,$C$2,'Benchmarks by Card Role'!I$2,99,FALSE)</f>
        <v>0.28553602647242965</v>
      </c>
      <c r="L15">
        <f>_xlfn.HYPGEOM.DIST($A4,$C$2,'Benchmarks by Card Role'!J$2,99,FALSE)</f>
        <v>0.28347687243536845</v>
      </c>
      <c r="M15">
        <f>_xlfn.HYPGEOM.DIST($A4,$C$2,'Benchmarks by Card Role'!K$2,99,FALSE)</f>
        <v>0.28025554433951244</v>
      </c>
      <c r="N15">
        <f>_xlfn.HYPGEOM.DIST($A4,$C$2,'Benchmarks by Card Role'!L$2,99,FALSE)</f>
        <v>0.2759378818917046</v>
      </c>
      <c r="P15">
        <f>_xlfn.HYPGEOM.DIST($A4,$C$2,'Benchmarks by Card Role'!D$12,99,FALSE)</f>
        <v>1.4417646618509786E-2</v>
      </c>
      <c r="Q15">
        <f>_xlfn.HYPGEOM.DIST($A4,$C$2,'Benchmarks by Card Role'!E$12,99,FALSE)</f>
        <v>2.1563784507684196E-2</v>
      </c>
      <c r="R15">
        <f>_xlfn.HYPGEOM.DIST($A4,$C$2,'Benchmarks by Card Role'!F$12,99,FALSE)</f>
        <v>3.0212994777249827E-2</v>
      </c>
      <c r="S15">
        <f>_xlfn.HYPGEOM.DIST($A4,$C$2,'Benchmarks by Card Role'!G$12,99,FALSE)</f>
        <v>4.0283993036333079E-2</v>
      </c>
      <c r="T15">
        <f>_xlfn.HYPGEOM.DIST($A4,$C$2,'Benchmarks by Card Role'!H$12,99,FALSE)</f>
        <v>5.1656300059230519E-2</v>
      </c>
      <c r="U15">
        <f>_xlfn.HYPGEOM.DIST($A4,$C$2,'Benchmarks by Card Role'!I$12,99,FALSE)</f>
        <v>6.4179039467528787E-2</v>
      </c>
      <c r="V15">
        <f>_xlfn.HYPGEOM.DIST($A4,$C$2,'Benchmarks by Card Role'!J$12,99,FALSE)</f>
        <v>7.767876845897452E-2</v>
      </c>
      <c r="W15">
        <f>_xlfn.HYPGEOM.DIST($A4,$C$2,'Benchmarks by Card Role'!K$12,99,FALSE)</f>
        <v>9.1966406632189704E-2</v>
      </c>
      <c r="X15">
        <f>_xlfn.HYPGEOM.DIST($A4,$C$2,'Benchmarks by Card Role'!L$12,99,FALSE)</f>
        <v>0.10684332535210272</v>
      </c>
      <c r="Z15">
        <f>_xlfn.HYPGEOM.DIST($A4,$C$2,'Benchmarks by Card Role'!D$22,99,FALSE)</f>
        <v>1.4417646618509786E-2</v>
      </c>
      <c r="AA15">
        <f>_xlfn.HYPGEOM.DIST($A4,$C$2,'Benchmarks by Card Role'!E$22,99,FALSE)</f>
        <v>2.1563784507684196E-2</v>
      </c>
      <c r="AB15">
        <f>_xlfn.HYPGEOM.DIST($A4,$C$2,'Benchmarks by Card Role'!F$22,99,FALSE)</f>
        <v>3.0212994777249827E-2</v>
      </c>
      <c r="AC15">
        <f>_xlfn.HYPGEOM.DIST($A4,$C$2,'Benchmarks by Card Role'!G$22,99,FALSE)</f>
        <v>4.0283993036333079E-2</v>
      </c>
      <c r="AD15">
        <f>_xlfn.HYPGEOM.DIST($A4,$C$2,'Benchmarks by Card Role'!H$22,99,FALSE)</f>
        <v>5.1656300059230519E-2</v>
      </c>
      <c r="AE15">
        <f>_xlfn.HYPGEOM.DIST($A4,$C$2,'Benchmarks by Card Role'!I$22,99,FALSE)</f>
        <v>6.4179039467528787E-2</v>
      </c>
      <c r="AF15">
        <f>_xlfn.HYPGEOM.DIST($A4,$C$2,'Benchmarks by Card Role'!J$22,99,FALSE)</f>
        <v>7.767876845897452E-2</v>
      </c>
      <c r="AG15">
        <f>_xlfn.HYPGEOM.DIST($A4,$C$2,'Benchmarks by Card Role'!K$22,99,FALSE)</f>
        <v>9.1966406632189704E-2</v>
      </c>
      <c r="AH15">
        <f>_xlfn.HYPGEOM.DIST($A4,$C$2,'Benchmarks by Card Role'!L$22,99,FALSE)</f>
        <v>0.10684332535210272</v>
      </c>
      <c r="AJ15">
        <f>_xlfn.HYPGEOM.DIST($A4,$C$2,'Benchmarks by Card Role'!D$32,99,FALSE)</f>
        <v>0</v>
      </c>
      <c r="AK15">
        <f>_xlfn.HYPGEOM.DIST($A4,$C$2,'Benchmarks by Card Role'!E$32,99,FALSE)</f>
        <v>0</v>
      </c>
      <c r="AL15">
        <f>_xlfn.HYPGEOM.DIST($A4,$C$2,'Benchmarks by Card Role'!F$32,99,FALSE)</f>
        <v>0</v>
      </c>
      <c r="AM15">
        <f>_xlfn.HYPGEOM.DIST($A4,$C$2,'Benchmarks by Card Role'!G$32,99,FALSE)</f>
        <v>5.3554692729950468E-4</v>
      </c>
      <c r="AN15">
        <f>_xlfn.HYPGEOM.DIST($A4,$C$2,'Benchmarks by Card Role'!H$32,99,FALSE)</f>
        <v>2.0083009773731431E-3</v>
      </c>
      <c r="AO15">
        <f>_xlfn.HYPGEOM.DIST($A4,$C$2,'Benchmarks by Card Role'!I$32,99,FALSE)</f>
        <v>4.7036522891107787E-3</v>
      </c>
      <c r="AP15">
        <f>_xlfn.HYPGEOM.DIST($A4,$C$2,'Benchmarks by Card Role'!J$32,99,FALSE)</f>
        <v>8.8068383285478443E-3</v>
      </c>
      <c r="AQ15">
        <f>_xlfn.HYPGEOM.DIST($A4,$C$2,'Benchmarks by Card Role'!K$32,99,FALSE)</f>
        <v>1.4417646618509786E-2</v>
      </c>
      <c r="AR15">
        <f>_xlfn.HYPGEOM.DIST($A4,$C$2,'Benchmarks by Card Role'!L$32,99,FALSE)</f>
        <v>2.1563784507684196E-2</v>
      </c>
      <c r="AT15">
        <f>_xlfn.HYPGEOM.DIST($A4,$C$2,'Benchmarks by Card Role'!D$42,99,FALSE)</f>
        <v>3.0212994777249827E-2</v>
      </c>
      <c r="AU15">
        <f>_xlfn.HYPGEOM.DIST($A4,$C$2,'Benchmarks by Card Role'!E$42,99,FALSE)</f>
        <v>4.0283993036333079E-2</v>
      </c>
      <c r="AV15">
        <f>_xlfn.HYPGEOM.DIST($A4,$C$2,'Benchmarks by Card Role'!F$42,99,FALSE)</f>
        <v>5.1656300059230519E-2</v>
      </c>
      <c r="AW15">
        <f>_xlfn.HYPGEOM.DIST($A4,$C$2,'Benchmarks by Card Role'!G$42,99,FALSE)</f>
        <v>6.4179039467528787E-2</v>
      </c>
      <c r="AX15">
        <f>_xlfn.HYPGEOM.DIST($A4,$C$2,'Benchmarks by Card Role'!H$42,99,FALSE)</f>
        <v>7.767876845897452E-2</v>
      </c>
      <c r="AY15">
        <f>_xlfn.HYPGEOM.DIST($A4,$C$2,'Benchmarks by Card Role'!I$42,99,FALSE)</f>
        <v>9.1966406632189704E-2</v>
      </c>
      <c r="AZ15">
        <f>_xlfn.HYPGEOM.DIST($A4,$C$2,'Benchmarks by Card Role'!J$42,99,FALSE)</f>
        <v>0.10684332535210272</v>
      </c>
      <c r="BA15">
        <f>_xlfn.HYPGEOM.DIST($A4,$C$2,'Benchmarks by Card Role'!K$42,99,FALSE)</f>
        <v>0.12210665754526026</v>
      </c>
      <c r="BB15">
        <f>_xlfn.HYPGEOM.DIST($A4,$C$2,'Benchmarks by Card Role'!L$42,99,FALSE)</f>
        <v>0.13755388530701015</v>
      </c>
    </row>
    <row r="16" spans="1:54" x14ac:dyDescent="0.25">
      <c r="F16">
        <f>_xlfn.HYPGEOM.DIST($A5,$C$2,'Benchmarks by Card Role'!D$2,99,FALSE)</f>
        <v>0.166062129759937</v>
      </c>
      <c r="G16">
        <f>_xlfn.HYPGEOM.DIST($A5,$C$2,'Benchmarks by Card Role'!E$2,99,FALSE)</f>
        <v>0.17792371045707536</v>
      </c>
      <c r="H16">
        <f>_xlfn.HYPGEOM.DIST($A5,$C$2,'Benchmarks by Card Role'!F$2,99,FALSE)</f>
        <v>0.18947967876910213</v>
      </c>
      <c r="I16">
        <f>_xlfn.HYPGEOM.DIST($A5,$C$2,'Benchmarks by Card Role'!G$2,99,FALSE)</f>
        <v>0.20062554222610815</v>
      </c>
      <c r="J16">
        <f>_xlfn.HYPGEOM.DIST($A5,$C$2,'Benchmarks by Card Role'!H$2,99,FALSE)</f>
        <v>0.21126086433073465</v>
      </c>
      <c r="K16">
        <f>_xlfn.HYPGEOM.DIST($A5,$C$2,'Benchmarks by Card Role'!I$2,99,FALSE)</f>
        <v>0.2212904205161331</v>
      </c>
      <c r="L16">
        <f>_xlfn.HYPGEOM.DIST($A5,$C$2,'Benchmarks by Card Role'!J$2,99,FALSE)</f>
        <v>0.23062525215080865</v>
      </c>
      <c r="M16">
        <f>_xlfn.HYPGEOM.DIST($A5,$C$2,'Benchmarks by Card Role'!K$2,99,FALSE)</f>
        <v>0.23918361111734232</v>
      </c>
      <c r="N16">
        <f>_xlfn.HYPGEOM.DIST($A5,$C$2,'Benchmarks by Card Role'!L$2,99,FALSE)</f>
        <v>0.24689178906099896</v>
      </c>
      <c r="P16">
        <f>_xlfn.HYPGEOM.DIST($A5,$C$2,'Benchmarks by Card Role'!D$12,99,FALSE)</f>
        <v>9.9432045644895083E-4</v>
      </c>
      <c r="Q16">
        <f>_xlfn.HYPGEOM.DIST($A5,$C$2,'Benchmarks by Card Role'!E$12,99,FALSE)</f>
        <v>1.8805626024143193E-3</v>
      </c>
      <c r="R16">
        <f>_xlfn.HYPGEOM.DIST($A5,$C$2,'Benchmarks by Card Role'!F$12,99,FALSE)</f>
        <v>3.1990229764146871E-3</v>
      </c>
      <c r="S16">
        <f>_xlfn.HYPGEOM.DIST($A5,$C$2,'Benchmarks by Card Role'!G$12,99,FALSE)</f>
        <v>5.0354991295416367E-3</v>
      </c>
      <c r="T16">
        <f>_xlfn.HYPGEOM.DIST($A5,$C$2,'Benchmarks by Card Role'!H$12,99,FALSE)</f>
        <v>7.4683807314550252E-3</v>
      </c>
      <c r="U16">
        <f>_xlfn.HYPGEOM.DIST($A5,$C$2,'Benchmarks by Card Role'!I$12,99,FALSE)</f>
        <v>1.0566061375751718E-2</v>
      </c>
      <c r="V16">
        <f>_xlfn.HYPGEOM.DIST($A5,$C$2,'Benchmarks by Card Role'!J$12,99,FALSE)</f>
        <v>1.4384957122032332E-2</v>
      </c>
      <c r="W16">
        <f>_xlfn.HYPGEOM.DIST($A5,$C$2,'Benchmarks by Card Role'!K$12,99,FALSE)</f>
        <v>1.8968071367889121E-2</v>
      </c>
      <c r="X16">
        <f>_xlfn.HYPGEOM.DIST($A5,$C$2,'Benchmarks by Card Role'!L$12,99,FALSE)</f>
        <v>2.4344048814403163E-2</v>
      </c>
      <c r="Z16">
        <f>_xlfn.HYPGEOM.DIST($A5,$C$2,'Benchmarks by Card Role'!D$22,99,FALSE)</f>
        <v>9.9432045644895083E-4</v>
      </c>
      <c r="AA16">
        <f>_xlfn.HYPGEOM.DIST($A5,$C$2,'Benchmarks by Card Role'!E$22,99,FALSE)</f>
        <v>1.8805626024143193E-3</v>
      </c>
      <c r="AB16">
        <f>_xlfn.HYPGEOM.DIST($A5,$C$2,'Benchmarks by Card Role'!F$22,99,FALSE)</f>
        <v>3.1990229764146871E-3</v>
      </c>
      <c r="AC16">
        <f>_xlfn.HYPGEOM.DIST($A5,$C$2,'Benchmarks by Card Role'!G$22,99,FALSE)</f>
        <v>5.0354991295416367E-3</v>
      </c>
      <c r="AD16">
        <f>_xlfn.HYPGEOM.DIST($A5,$C$2,'Benchmarks by Card Role'!H$22,99,FALSE)</f>
        <v>7.4683807314550252E-3</v>
      </c>
      <c r="AE16">
        <f>_xlfn.HYPGEOM.DIST($A5,$C$2,'Benchmarks by Card Role'!I$22,99,FALSE)</f>
        <v>1.0566061375751718E-2</v>
      </c>
      <c r="AF16">
        <f>_xlfn.HYPGEOM.DIST($A5,$C$2,'Benchmarks by Card Role'!J$22,99,FALSE)</f>
        <v>1.4384957122032332E-2</v>
      </c>
      <c r="AG16">
        <f>_xlfn.HYPGEOM.DIST($A5,$C$2,'Benchmarks by Card Role'!K$22,99,FALSE)</f>
        <v>1.8968071367889121E-2</v>
      </c>
      <c r="AH16">
        <f>_xlfn.HYPGEOM.DIST($A5,$C$2,'Benchmarks by Card Role'!L$22,99,FALSE)</f>
        <v>2.4344048814403163E-2</v>
      </c>
      <c r="AJ16">
        <f>_xlfn.HYPGEOM.DIST($A5,$C$2,'Benchmarks by Card Role'!D$32,99,FALSE)</f>
        <v>0</v>
      </c>
      <c r="AK16">
        <f>_xlfn.HYPGEOM.DIST($A5,$C$2,'Benchmarks by Card Role'!E$32,99,FALSE)</f>
        <v>0</v>
      </c>
      <c r="AL16">
        <f>_xlfn.HYPGEOM.DIST($A5,$C$2,'Benchmarks by Card Role'!F$32,99,FALSE)</f>
        <v>0</v>
      </c>
      <c r="AM16">
        <f>_xlfn.HYPGEOM.DIST($A5,$C$2,'Benchmarks by Card Role'!G$32,99,FALSE)</f>
        <v>0</v>
      </c>
      <c r="AN16">
        <f>_xlfn.HYPGEOM.DIST($A5,$C$2,'Benchmarks by Card Role'!H$32,99,FALSE)</f>
        <v>3.3471682956219036E-5</v>
      </c>
      <c r="AO16">
        <f>_xlfn.HYPGEOM.DIST($A5,$C$2,'Benchmarks by Card Role'!I$32,99,FALSE)</f>
        <v>1.5855007716103771E-4</v>
      </c>
      <c r="AP16">
        <f>_xlfn.HYPGEOM.DIST($A5,$C$2,'Benchmarks by Card Role'!J$32,99,FALSE)</f>
        <v>4.5034968725528806E-4</v>
      </c>
      <c r="AQ16">
        <f>_xlfn.HYPGEOM.DIST($A5,$C$2,'Benchmarks by Card Role'!K$32,99,FALSE)</f>
        <v>9.9432045644895083E-4</v>
      </c>
      <c r="AR16">
        <f>_xlfn.HYPGEOM.DIST($A5,$C$2,'Benchmarks by Card Role'!L$32,99,FALSE)</f>
        <v>1.8805626024143193E-3</v>
      </c>
      <c r="AT16">
        <f>_xlfn.HYPGEOM.DIST($A5,$C$2,'Benchmarks by Card Role'!D$42,99,FALSE)</f>
        <v>3.1990229764146871E-3</v>
      </c>
      <c r="AU16">
        <f>_xlfn.HYPGEOM.DIST($A5,$C$2,'Benchmarks by Card Role'!E$42,99,FALSE)</f>
        <v>5.0354991295416367E-3</v>
      </c>
      <c r="AV16">
        <f>_xlfn.HYPGEOM.DIST($A5,$C$2,'Benchmarks by Card Role'!F$42,99,FALSE)</f>
        <v>7.4683807314550252E-3</v>
      </c>
      <c r="AW16">
        <f>_xlfn.HYPGEOM.DIST($A5,$C$2,'Benchmarks by Card Role'!G$42,99,FALSE)</f>
        <v>1.0566061375751718E-2</v>
      </c>
      <c r="AX16">
        <f>_xlfn.HYPGEOM.DIST($A5,$C$2,'Benchmarks by Card Role'!H$42,99,FALSE)</f>
        <v>1.4384957122032332E-2</v>
      </c>
      <c r="AY16">
        <f>_xlfn.HYPGEOM.DIST($A5,$C$2,'Benchmarks by Card Role'!I$42,99,FALSE)</f>
        <v>1.8968071367889121E-2</v>
      </c>
      <c r="AZ16">
        <f>_xlfn.HYPGEOM.DIST($A5,$C$2,'Benchmarks by Card Role'!J$42,99,FALSE)</f>
        <v>2.4344048814403163E-2</v>
      </c>
      <c r="BA16">
        <f>_xlfn.HYPGEOM.DIST($A5,$C$2,'Benchmarks by Card Role'!K$42,99,FALSE)</f>
        <v>3.052666438631511E-2</v>
      </c>
      <c r="BB16">
        <f>_xlfn.HYPGEOM.DIST($A5,$C$2,'Benchmarks by Card Role'!L$42,99,FALSE)</f>
        <v>3.7514695992820944E-2</v>
      </c>
    </row>
    <row r="17" spans="6:54" x14ac:dyDescent="0.25">
      <c r="F17">
        <f>_xlfn.HYPGEOM.DIST($A6,$C$2,'Benchmarks by Card Role'!D$2,99,FALSE)</f>
        <v>6.2902321878763906E-2</v>
      </c>
      <c r="G17">
        <f>_xlfn.HYPGEOM.DIST($A6,$C$2,'Benchmarks by Card Role'!E$2,99,FALSE)</f>
        <v>7.1169484182830131E-2</v>
      </c>
      <c r="H17">
        <f>_xlfn.HYPGEOM.DIST($A6,$C$2,'Benchmarks by Card Role'!F$2,99,FALSE)</f>
        <v>7.9936739480714961E-2</v>
      </c>
      <c r="I17">
        <f>_xlfn.HYPGEOM.DIST($A6,$C$2,'Benchmarks by Card Role'!G$2,99,FALSE)</f>
        <v>8.9166907656048025E-2</v>
      </c>
      <c r="J17">
        <f>_xlfn.HYPGEOM.DIST($A6,$C$2,'Benchmarks by Card Role'!H$2,99,FALSE)</f>
        <v>9.8815565574053188E-2</v>
      </c>
      <c r="K17">
        <f>_xlfn.HYPGEOM.DIST($A6,$C$2,'Benchmarks by Card Role'!I$2,99,FALSE)</f>
        <v>0.10883135435219669</v>
      </c>
      <c r="L17">
        <f>_xlfn.HYPGEOM.DIST($A6,$C$2,'Benchmarks by Card Role'!J$2,99,FALSE)</f>
        <v>0.11915638027791793</v>
      </c>
      <c r="M17">
        <f>_xlfn.HYPGEOM.DIST($A6,$C$2,'Benchmarks by Card Role'!K$2,99,FALSE)</f>
        <v>0.12972670433482991</v>
      </c>
      <c r="N17">
        <f>_xlfn.HYPGEOM.DIST($A6,$C$2,'Benchmarks by Card Role'!L$2,99,FALSE)</f>
        <v>0.14047291446574101</v>
      </c>
      <c r="P17">
        <f>_xlfn.HYPGEOM.DIST($A6,$C$2,'Benchmarks by Card Role'!D$12,99,FALSE)</f>
        <v>3.3897288288032414E-5</v>
      </c>
      <c r="Q17">
        <f>_xlfn.HYPGEOM.DIST($A6,$C$2,'Benchmarks by Card Role'!E$12,99,FALSE)</f>
        <v>8.6462648386865181E-5</v>
      </c>
      <c r="R17">
        <f>_xlfn.HYPGEOM.DIST($A6,$C$2,'Benchmarks by Card Role'!F$12,99,FALSE)</f>
        <v>1.8598970793108673E-4</v>
      </c>
      <c r="S17">
        <f>_xlfn.HYPGEOM.DIST($A6,$C$2,'Benchmarks by Card Role'!G$12,99,FALSE)</f>
        <v>3.5544699737941087E-4</v>
      </c>
      <c r="T17">
        <f>_xlfn.HYPGEOM.DIST($A6,$C$2,'Benchmarks by Card Role'!H$12,99,FALSE)</f>
        <v>6.223650609545842E-4</v>
      </c>
      <c r="U17">
        <f>_xlfn.HYPGEOM.DIST($A6,$C$2,'Benchmarks by Card Role'!I$12,99,FALSE)</f>
        <v>1.0184155542893227E-3</v>
      </c>
      <c r="V17">
        <f>_xlfn.HYPGEOM.DIST($A6,$C$2,'Benchmarks by Card Role'!J$12,99,FALSE)</f>
        <v>1.5788367572962324E-3</v>
      </c>
      <c r="W17">
        <f>_xlfn.HYPGEOM.DIST($A6,$C$2,'Benchmarks by Card Role'!K$12,99,FALSE)</f>
        <v>2.3417372059122378E-3</v>
      </c>
      <c r="X17">
        <f>_xlfn.HYPGEOM.DIST($A6,$C$2,'Benchmarks by Card Role'!L$12,99,FALSE)</f>
        <v>3.347306711980436E-3</v>
      </c>
      <c r="Z17">
        <f>_xlfn.HYPGEOM.DIST($A6,$C$2,'Benchmarks by Card Role'!D$22,99,FALSE)</f>
        <v>3.3897288288032414E-5</v>
      </c>
      <c r="AA17">
        <f>_xlfn.HYPGEOM.DIST($A6,$C$2,'Benchmarks by Card Role'!E$22,99,FALSE)</f>
        <v>8.6462648386865181E-5</v>
      </c>
      <c r="AB17">
        <f>_xlfn.HYPGEOM.DIST($A6,$C$2,'Benchmarks by Card Role'!F$22,99,FALSE)</f>
        <v>1.8598970793108673E-4</v>
      </c>
      <c r="AC17">
        <f>_xlfn.HYPGEOM.DIST($A6,$C$2,'Benchmarks by Card Role'!G$22,99,FALSE)</f>
        <v>3.5544699737941087E-4</v>
      </c>
      <c r="AD17">
        <f>_xlfn.HYPGEOM.DIST($A6,$C$2,'Benchmarks by Card Role'!H$22,99,FALSE)</f>
        <v>6.223650609545842E-4</v>
      </c>
      <c r="AE17">
        <f>_xlfn.HYPGEOM.DIST($A6,$C$2,'Benchmarks by Card Role'!I$22,99,FALSE)</f>
        <v>1.0184155542893227E-3</v>
      </c>
      <c r="AF17">
        <f>_xlfn.HYPGEOM.DIST($A6,$C$2,'Benchmarks by Card Role'!J$22,99,FALSE)</f>
        <v>1.5788367572962324E-3</v>
      </c>
      <c r="AG17">
        <f>_xlfn.HYPGEOM.DIST($A6,$C$2,'Benchmarks by Card Role'!K$22,99,FALSE)</f>
        <v>2.3417372059122378E-3</v>
      </c>
      <c r="AH17">
        <f>_xlfn.HYPGEOM.DIST($A6,$C$2,'Benchmarks by Card Role'!L$22,99,FALSE)</f>
        <v>3.347306711980436E-3</v>
      </c>
      <c r="AJ17">
        <f>_xlfn.HYPGEOM.DIST($A6,$C$2,'Benchmarks by Card Role'!D$32,99,FALSE)</f>
        <v>0</v>
      </c>
      <c r="AK17">
        <f>_xlfn.HYPGEOM.DIST($A6,$C$2,'Benchmarks by Card Role'!E$32,99,FALSE)</f>
        <v>0</v>
      </c>
      <c r="AL17">
        <f>_xlfn.HYPGEOM.DIST($A6,$C$2,'Benchmarks by Card Role'!F$32,99,FALSE)</f>
        <v>0</v>
      </c>
      <c r="AM17">
        <f>_xlfn.HYPGEOM.DIST($A6,$C$2,'Benchmarks by Card Role'!G$32,99,FALSE)</f>
        <v>0</v>
      </c>
      <c r="AN17">
        <f>_xlfn.HYPGEOM.DIST($A6,$C$2,'Benchmarks by Card Role'!H$32,99,FALSE)</f>
        <v>0</v>
      </c>
      <c r="AO17">
        <f>_xlfn.HYPGEOM.DIST($A6,$C$2,'Benchmarks by Card Role'!I$32,99,FALSE)</f>
        <v>1.7616675240115291E-6</v>
      </c>
      <c r="AP17">
        <f>_xlfn.HYPGEOM.DIST($A6,$C$2,'Benchmarks by Card Role'!J$32,99,FALSE)</f>
        <v>1.0120217691130067E-5</v>
      </c>
      <c r="AQ17">
        <f>_xlfn.HYPGEOM.DIST($A6,$C$2,'Benchmarks by Card Role'!K$32,99,FALSE)</f>
        <v>3.3897288288032414E-5</v>
      </c>
      <c r="AR17">
        <f>_xlfn.HYPGEOM.DIST($A6,$C$2,'Benchmarks by Card Role'!L$32,99,FALSE)</f>
        <v>8.6462648386865181E-5</v>
      </c>
      <c r="AT17">
        <f>_xlfn.HYPGEOM.DIST($A6,$C$2,'Benchmarks by Card Role'!D$42,99,FALSE)</f>
        <v>1.8598970793108673E-4</v>
      </c>
      <c r="AU17">
        <f>_xlfn.HYPGEOM.DIST($A6,$C$2,'Benchmarks by Card Role'!E$42,99,FALSE)</f>
        <v>3.5544699737941087E-4</v>
      </c>
      <c r="AV17">
        <f>_xlfn.HYPGEOM.DIST($A6,$C$2,'Benchmarks by Card Role'!F$42,99,FALSE)</f>
        <v>6.223650609545842E-4</v>
      </c>
      <c r="AW17">
        <f>_xlfn.HYPGEOM.DIST($A6,$C$2,'Benchmarks by Card Role'!G$42,99,FALSE)</f>
        <v>1.0184155542893227E-3</v>
      </c>
      <c r="AX17">
        <f>_xlfn.HYPGEOM.DIST($A6,$C$2,'Benchmarks by Card Role'!H$42,99,FALSE)</f>
        <v>1.5788367572962324E-3</v>
      </c>
      <c r="AY17">
        <f>_xlfn.HYPGEOM.DIST($A6,$C$2,'Benchmarks by Card Role'!I$42,99,FALSE)</f>
        <v>2.3417372059122378E-3</v>
      </c>
      <c r="AZ17">
        <f>_xlfn.HYPGEOM.DIST($A6,$C$2,'Benchmarks by Card Role'!J$42,99,FALSE)</f>
        <v>3.347306711980436E-3</v>
      </c>
      <c r="BA17">
        <f>_xlfn.HYPGEOM.DIST($A6,$C$2,'Benchmarks by Card Role'!K$42,99,FALSE)</f>
        <v>4.6369616789339405E-3</v>
      </c>
      <c r="BB17">
        <f>_xlfn.HYPGEOM.DIST($A6,$C$2,'Benchmarks by Card Role'!L$42,99,FALSE)</f>
        <v>6.2524493321368304E-3</v>
      </c>
    </row>
    <row r="18" spans="6:54" x14ac:dyDescent="0.25">
      <c r="F18">
        <f>_xlfn.HYPGEOM.DIST($A7,$C$2,'Benchmarks by Card Role'!D$2,99,FALSE)</f>
        <v>1.5021450000898868E-2</v>
      </c>
      <c r="G18">
        <f>_xlfn.HYPGEOM.DIST($A7,$C$2,'Benchmarks by Card Role'!E$2,99,FALSE)</f>
        <v>1.7972091965361123E-2</v>
      </c>
      <c r="H18">
        <f>_xlfn.HYPGEOM.DIST($A7,$C$2,'Benchmarks by Card Role'!F$2,99,FALSE)</f>
        <v>2.1316463861523999E-2</v>
      </c>
      <c r="I18">
        <f>_xlfn.HYPGEOM.DIST($A7,$C$2,'Benchmarks by Card Role'!G$2,99,FALSE)</f>
        <v>2.5078192778263494E-2</v>
      </c>
      <c r="J18">
        <f>_xlfn.HYPGEOM.DIST($A7,$C$2,'Benchmarks by Card Role'!H$2,99,FALSE)</f>
        <v>2.927868609601576E-2</v>
      </c>
      <c r="K18">
        <f>_xlfn.HYPGEOM.DIST($A7,$C$2,'Benchmarks by Card Role'!I$2,99,FALSE)</f>
        <v>3.3936658884018277E-2</v>
      </c>
      <c r="L18">
        <f>_xlfn.HYPGEOM.DIST($A7,$C$2,'Benchmarks by Card Role'!J$2,99,FALSE)</f>
        <v>3.9067665664891026E-2</v>
      </c>
      <c r="M18">
        <f>_xlfn.HYPGEOM.DIST($A7,$C$2,'Benchmarks by Card Role'!K$2,99,FALSE)</f>
        <v>4.4683642604219191E-2</v>
      </c>
      <c r="N18">
        <f>_xlfn.HYPGEOM.DIST($A7,$C$2,'Benchmarks by Card Role'!L$2,99,FALSE)</f>
        <v>5.0792466247499508E-2</v>
      </c>
      <c r="P18">
        <f>_xlfn.HYPGEOM.DIST($A7,$C$2,'Benchmarks by Card Role'!D$12,99,FALSE)</f>
        <v>5.0782454364093471E-7</v>
      </c>
      <c r="Q18">
        <f>_xlfn.HYPGEOM.DIST($A7,$C$2,'Benchmarks by Card Role'!E$12,99,FALSE)</f>
        <v>1.9650601906105725E-6</v>
      </c>
      <c r="R18">
        <f>_xlfn.HYPGEOM.DIST($A7,$C$2,'Benchmarks by Card Role'!F$12,99,FALSE)</f>
        <v>5.7008339595735351E-6</v>
      </c>
      <c r="S18">
        <f>_xlfn.HYPGEOM.DIST($A7,$C$2,'Benchmarks by Card Role'!G$12,99,FALSE)</f>
        <v>1.3777015402302698E-5</v>
      </c>
      <c r="T18">
        <f>_xlfn.HYPGEOM.DIST($A7,$C$2,'Benchmarks by Card Role'!H$12,99,FALSE)</f>
        <v>2.9287767574333466E-5</v>
      </c>
      <c r="U18">
        <f>_xlfn.HYPGEOM.DIST($A7,$C$2,'Benchmarks by Card Role'!I$12,99,FALSE)</f>
        <v>5.6578641904962194E-5</v>
      </c>
      <c r="V18">
        <f>_xlfn.HYPGEOM.DIST($A7,$C$2,'Benchmarks by Card Role'!J$12,99,FALSE)</f>
        <v>1.0145135789855295E-4</v>
      </c>
      <c r="W18">
        <f>_xlfn.HYPGEOM.DIST($A7,$C$2,'Benchmarks by Card Role'!K$12,99,FALSE)</f>
        <v>1.7134662482284685E-4</v>
      </c>
      <c r="X18">
        <f>_xlfn.HYPGEOM.DIST($A7,$C$2,'Benchmarks by Card Role'!L$12,99,FALSE)</f>
        <v>2.7549849481320484E-4</v>
      </c>
      <c r="Z18">
        <f>_xlfn.HYPGEOM.DIST($A7,$C$2,'Benchmarks by Card Role'!D$22,99,FALSE)</f>
        <v>5.0782454364093471E-7</v>
      </c>
      <c r="AA18">
        <f>_xlfn.HYPGEOM.DIST($A7,$C$2,'Benchmarks by Card Role'!E$22,99,FALSE)</f>
        <v>1.9650601906105725E-6</v>
      </c>
      <c r="AB18">
        <f>_xlfn.HYPGEOM.DIST($A7,$C$2,'Benchmarks by Card Role'!F$22,99,FALSE)</f>
        <v>5.7008339595735351E-6</v>
      </c>
      <c r="AC18">
        <f>_xlfn.HYPGEOM.DIST($A7,$C$2,'Benchmarks by Card Role'!G$22,99,FALSE)</f>
        <v>1.3777015402302698E-5</v>
      </c>
      <c r="AD18">
        <f>_xlfn.HYPGEOM.DIST($A7,$C$2,'Benchmarks by Card Role'!H$22,99,FALSE)</f>
        <v>2.9287767574333466E-5</v>
      </c>
      <c r="AE18">
        <f>_xlfn.HYPGEOM.DIST($A7,$C$2,'Benchmarks by Card Role'!I$22,99,FALSE)</f>
        <v>5.6578641904962194E-5</v>
      </c>
      <c r="AF18">
        <f>_xlfn.HYPGEOM.DIST($A7,$C$2,'Benchmarks by Card Role'!J$22,99,FALSE)</f>
        <v>1.0145135789855295E-4</v>
      </c>
      <c r="AG18">
        <f>_xlfn.HYPGEOM.DIST($A7,$C$2,'Benchmarks by Card Role'!K$22,99,FALSE)</f>
        <v>1.7134662482284685E-4</v>
      </c>
      <c r="AH18">
        <f>_xlfn.HYPGEOM.DIST($A7,$C$2,'Benchmarks by Card Role'!L$22,99,FALSE)</f>
        <v>2.7549849481320484E-4</v>
      </c>
      <c r="AJ18">
        <f>_xlfn.HYPGEOM.DIST($A7,$C$2,'Benchmarks by Card Role'!D$32,99,FALSE)</f>
        <v>0</v>
      </c>
      <c r="AK18">
        <f>_xlfn.HYPGEOM.DIST($A7,$C$2,'Benchmarks by Card Role'!E$32,99,FALSE)</f>
        <v>0</v>
      </c>
      <c r="AL18">
        <f>_xlfn.HYPGEOM.DIST($A7,$C$2,'Benchmarks by Card Role'!F$32,99,FALSE)</f>
        <v>0</v>
      </c>
      <c r="AM18">
        <f>_xlfn.HYPGEOM.DIST($A7,$C$2,'Benchmarks by Card Role'!G$32,99,FALSE)</f>
        <v>0</v>
      </c>
      <c r="AN18">
        <f>_xlfn.HYPGEOM.DIST($A7,$C$2,'Benchmarks by Card Role'!H$32,99,FALSE)</f>
        <v>0</v>
      </c>
      <c r="AO18">
        <f>_xlfn.HYPGEOM.DIST($A7,$C$2,'Benchmarks by Card Role'!I$32,99,FALSE)</f>
        <v>0</v>
      </c>
      <c r="AP18">
        <f>_xlfn.HYPGEOM.DIST($A7,$C$2,'Benchmarks by Card Role'!J$32,99,FALSE)</f>
        <v>7.4964575489852286E-8</v>
      </c>
      <c r="AQ18">
        <f>_xlfn.HYPGEOM.DIST($A7,$C$2,'Benchmarks by Card Role'!K$32,99,FALSE)</f>
        <v>5.0782454364093471E-7</v>
      </c>
      <c r="AR18">
        <f>_xlfn.HYPGEOM.DIST($A7,$C$2,'Benchmarks by Card Role'!L$32,99,FALSE)</f>
        <v>1.9650601906105725E-6</v>
      </c>
      <c r="AT18">
        <f>_xlfn.HYPGEOM.DIST($A7,$C$2,'Benchmarks by Card Role'!D$42,99,FALSE)</f>
        <v>5.7008339595735351E-6</v>
      </c>
      <c r="AU18">
        <f>_xlfn.HYPGEOM.DIST($A7,$C$2,'Benchmarks by Card Role'!E$42,99,FALSE)</f>
        <v>1.3777015402302698E-5</v>
      </c>
      <c r="AV18">
        <f>_xlfn.HYPGEOM.DIST($A7,$C$2,'Benchmarks by Card Role'!F$42,99,FALSE)</f>
        <v>2.9287767574333466E-5</v>
      </c>
      <c r="AW18">
        <f>_xlfn.HYPGEOM.DIST($A7,$C$2,'Benchmarks by Card Role'!G$42,99,FALSE)</f>
        <v>5.6578641904962194E-5</v>
      </c>
      <c r="AX18">
        <f>_xlfn.HYPGEOM.DIST($A7,$C$2,'Benchmarks by Card Role'!H$42,99,FALSE)</f>
        <v>1.0145135789855295E-4</v>
      </c>
      <c r="AY18">
        <f>_xlfn.HYPGEOM.DIST($A7,$C$2,'Benchmarks by Card Role'!I$42,99,FALSE)</f>
        <v>1.7134662482284685E-4</v>
      </c>
      <c r="AZ18">
        <f>_xlfn.HYPGEOM.DIST($A7,$C$2,'Benchmarks by Card Role'!J$42,99,FALSE)</f>
        <v>2.7549849481320484E-4</v>
      </c>
      <c r="BA18">
        <f>_xlfn.HYPGEOM.DIST($A7,$C$2,'Benchmarks by Card Role'!K$42,99,FALSE)</f>
        <v>4.2505482056894457E-4</v>
      </c>
      <c r="BB18">
        <f>_xlfn.HYPGEOM.DIST($A7,$C$2,'Benchmarks by Card Role'!L$42,99,FALSE)</f>
        <v>6.3315942603917161E-4</v>
      </c>
    </row>
    <row r="19" spans="6:54" x14ac:dyDescent="0.25">
      <c r="F19">
        <f>_xlfn.HYPGEOM.DIST($A8,$C$2,'Benchmarks by Card Role'!D$2,99,FALSE)</f>
        <v>2.1774790967689557E-3</v>
      </c>
      <c r="G19">
        <f>_xlfn.HYPGEOM.DIST($A8,$C$2,'Benchmarks by Card Role'!E$2,99,FALSE)</f>
        <v>2.7590418368997889E-3</v>
      </c>
      <c r="H19">
        <f>_xlfn.HYPGEOM.DIST($A8,$C$2,'Benchmarks by Card Role'!F$2,99,FALSE)</f>
        <v>3.4604649125850651E-3</v>
      </c>
      <c r="I19">
        <f>_xlfn.HYPGEOM.DIST($A8,$C$2,'Benchmarks by Card Role'!G$2,99,FALSE)</f>
        <v>4.2991187619880293E-3</v>
      </c>
      <c r="J19">
        <f>_xlfn.HYPGEOM.DIST($A8,$C$2,'Benchmarks by Card Role'!H$2,99,FALSE)</f>
        <v>5.2936910128957076E-3</v>
      </c>
      <c r="K19">
        <f>_xlfn.HYPGEOM.DIST($A8,$C$2,'Benchmarks by Card Role'!I$2,99,FALSE)</f>
        <v>6.4641255017177622E-3</v>
      </c>
      <c r="L19">
        <f>_xlfn.HYPGEOM.DIST($A8,$C$2,'Benchmarks by Card Role'!J$2,99,FALSE)</f>
        <v>7.8315366655426783E-3</v>
      </c>
      <c r="M19">
        <f>_xlfn.HYPGEOM.DIST($A8,$C$2,'Benchmarks by Card Role'!K$2,99,FALSE)</f>
        <v>9.4180979727862459E-3</v>
      </c>
      <c r="N19">
        <f>_xlfn.HYPGEOM.DIST($A8,$C$2,'Benchmarks by Card Role'!L$2,99,FALSE)</f>
        <v>1.1246903240517749E-2</v>
      </c>
      <c r="P19">
        <f>_xlfn.HYPGEOM.DIST($A8,$C$2,'Benchmarks by Card Role'!D$12,99,FALSE)</f>
        <v>2.418212112575877E-9</v>
      </c>
      <c r="Q19">
        <f>_xlfn.HYPGEOM.DIST($A8,$C$2,'Benchmarks by Card Role'!E$12,99,FALSE)</f>
        <v>1.8925138272332925E-8</v>
      </c>
      <c r="R19">
        <f>_xlfn.HYPGEOM.DIST($A8,$C$2,'Benchmarks by Card Role'!F$12,99,FALSE)</f>
        <v>8.3291405253509485E-8</v>
      </c>
      <c r="S19">
        <f>_xlfn.HYPGEOM.DIST($A8,$C$2,'Benchmarks by Card Role'!G$12,99,FALSE)</f>
        <v>2.7146828378921612E-7</v>
      </c>
      <c r="T19">
        <f>_xlfn.HYPGEOM.DIST($A8,$C$2,'Benchmarks by Card Role'!H$12,99,FALSE)</f>
        <v>7.2976165052325777E-7</v>
      </c>
      <c r="U19">
        <f>_xlfn.HYPGEOM.DIST($A8,$C$2,'Benchmarks by Card Role'!I$12,99,FALSE)</f>
        <v>1.7116227803181863E-6</v>
      </c>
      <c r="V19">
        <f>_xlfn.HYPGEOM.DIST($A8,$C$2,'Benchmarks by Card Role'!J$12,99,FALSE)</f>
        <v>3.623262782091181E-6</v>
      </c>
      <c r="W19">
        <f>_xlfn.HYPGEOM.DIST($A8,$C$2,'Benchmarks by Card Role'!K$12,99,FALSE)</f>
        <v>7.0780017138525306E-6</v>
      </c>
      <c r="X19">
        <f>_xlfn.HYPGEOM.DIST($A8,$C$2,'Benchmarks by Card Role'!L$12,99,FALSE)</f>
        <v>1.2958988431979993E-5</v>
      </c>
      <c r="Z19">
        <f>_xlfn.HYPGEOM.DIST($A8,$C$2,'Benchmarks by Card Role'!D$22,99,FALSE)</f>
        <v>2.418212112575877E-9</v>
      </c>
      <c r="AA19">
        <f>_xlfn.HYPGEOM.DIST($A8,$C$2,'Benchmarks by Card Role'!E$22,99,FALSE)</f>
        <v>1.8925138272332925E-8</v>
      </c>
      <c r="AB19">
        <f>_xlfn.HYPGEOM.DIST($A8,$C$2,'Benchmarks by Card Role'!F$22,99,FALSE)</f>
        <v>8.3291405253509485E-8</v>
      </c>
      <c r="AC19">
        <f>_xlfn.HYPGEOM.DIST($A8,$C$2,'Benchmarks by Card Role'!G$22,99,FALSE)</f>
        <v>2.7146828378921612E-7</v>
      </c>
      <c r="AD19">
        <f>_xlfn.HYPGEOM.DIST($A8,$C$2,'Benchmarks by Card Role'!H$22,99,FALSE)</f>
        <v>7.2976165052325777E-7</v>
      </c>
      <c r="AE19">
        <f>_xlfn.HYPGEOM.DIST($A8,$C$2,'Benchmarks by Card Role'!I$22,99,FALSE)</f>
        <v>1.7116227803181863E-6</v>
      </c>
      <c r="AF19">
        <f>_xlfn.HYPGEOM.DIST($A8,$C$2,'Benchmarks by Card Role'!J$22,99,FALSE)</f>
        <v>3.623262782091181E-6</v>
      </c>
      <c r="AG19">
        <f>_xlfn.HYPGEOM.DIST($A8,$C$2,'Benchmarks by Card Role'!K$22,99,FALSE)</f>
        <v>7.0780017138525306E-6</v>
      </c>
      <c r="AH19">
        <f>_xlfn.HYPGEOM.DIST($A8,$C$2,'Benchmarks by Card Role'!L$22,99,FALSE)</f>
        <v>1.2958988431979993E-5</v>
      </c>
      <c r="AJ19">
        <f>_xlfn.HYPGEOM.DIST($A8,$C$2,'Benchmarks by Card Role'!D$32,99,FALSE)</f>
        <v>0</v>
      </c>
      <c r="AK19">
        <f>_xlfn.HYPGEOM.DIST($A8,$C$2,'Benchmarks by Card Role'!E$32,99,FALSE)</f>
        <v>0</v>
      </c>
      <c r="AL19">
        <f>_xlfn.HYPGEOM.DIST($A8,$C$2,'Benchmarks by Card Role'!F$32,99,FALSE)</f>
        <v>0</v>
      </c>
      <c r="AM19">
        <f>_xlfn.HYPGEOM.DIST($A8,$C$2,'Benchmarks by Card Role'!G$32,99,FALSE)</f>
        <v>0</v>
      </c>
      <c r="AN19">
        <f>_xlfn.HYPGEOM.DIST($A8,$C$2,'Benchmarks by Card Role'!H$32,99,FALSE)</f>
        <v>0</v>
      </c>
      <c r="AO19">
        <f>_xlfn.HYPGEOM.DIST($A8,$C$2,'Benchmarks by Card Role'!I$32,99,FALSE)</f>
        <v>0</v>
      </c>
      <c r="AP19">
        <f>_xlfn.HYPGEOM.DIST($A8,$C$2,'Benchmarks by Card Role'!J$32,99,FALSE)</f>
        <v>0</v>
      </c>
      <c r="AQ19">
        <f>_xlfn.HYPGEOM.DIST($A8,$C$2,'Benchmarks by Card Role'!K$32,99,FALSE)</f>
        <v>2.418212112575877E-9</v>
      </c>
      <c r="AR19">
        <f>_xlfn.HYPGEOM.DIST($A8,$C$2,'Benchmarks by Card Role'!L$32,99,FALSE)</f>
        <v>1.8925138272332925E-8</v>
      </c>
      <c r="AT19">
        <f>_xlfn.HYPGEOM.DIST($A8,$C$2,'Benchmarks by Card Role'!D$42,99,FALSE)</f>
        <v>8.3291405253509485E-8</v>
      </c>
      <c r="AU19">
        <f>_xlfn.HYPGEOM.DIST($A8,$C$2,'Benchmarks by Card Role'!E$42,99,FALSE)</f>
        <v>2.7146828378921612E-7</v>
      </c>
      <c r="AV19">
        <f>_xlfn.HYPGEOM.DIST($A8,$C$2,'Benchmarks by Card Role'!F$42,99,FALSE)</f>
        <v>7.2976165052325777E-7</v>
      </c>
      <c r="AW19">
        <f>_xlfn.HYPGEOM.DIST($A8,$C$2,'Benchmarks by Card Role'!G$42,99,FALSE)</f>
        <v>1.7116227803181863E-6</v>
      </c>
      <c r="AX19">
        <f>_xlfn.HYPGEOM.DIST($A8,$C$2,'Benchmarks by Card Role'!H$42,99,FALSE)</f>
        <v>3.623262782091181E-6</v>
      </c>
      <c r="AY19">
        <f>_xlfn.HYPGEOM.DIST($A8,$C$2,'Benchmarks by Card Role'!I$42,99,FALSE)</f>
        <v>7.0780017138525306E-6</v>
      </c>
      <c r="AZ19">
        <f>_xlfn.HYPGEOM.DIST($A8,$C$2,'Benchmarks by Card Role'!J$42,99,FALSE)</f>
        <v>1.2958988431979993E-5</v>
      </c>
      <c r="BA19">
        <f>_xlfn.HYPGEOM.DIST($A8,$C$2,'Benchmarks by Card Role'!K$42,99,FALSE)</f>
        <v>2.2489673045975873E-5</v>
      </c>
      <c r="BB19">
        <f>_xlfn.HYPGEOM.DIST($A8,$C$2,'Benchmarks by Card Role'!L$42,99,FALSE)</f>
        <v>3.73111804630226E-5</v>
      </c>
    </row>
    <row r="20" spans="6:54" x14ac:dyDescent="0.25">
      <c r="F20">
        <f>_xlfn.HYPGEOM.DIST($A9,$C$2,'Benchmarks by Card Role'!D$2,99,FALSE)</f>
        <v>1.7356717438013339E-4</v>
      </c>
      <c r="G20">
        <f>_xlfn.HYPGEOM.DIST($A9,$C$2,'Benchmarks by Card Role'!E$2,99,FALSE)</f>
        <v>2.3330133179667336E-4</v>
      </c>
      <c r="H20">
        <f>_xlfn.HYPGEOM.DIST($A9,$C$2,'Benchmarks by Card Role'!F$2,99,FALSE)</f>
        <v>3.0989238023149839E-4</v>
      </c>
      <c r="I20">
        <f>_xlfn.HYPGEOM.DIST($A9,$C$2,'Benchmarks by Card Role'!G$2,99,FALSE)</f>
        <v>4.0711351912765408E-4</v>
      </c>
      <c r="J20">
        <f>_xlfn.HYPGEOM.DIST($A9,$C$2,'Benchmarks by Card Role'!H$2,99,FALSE)</f>
        <v>5.2936910128957137E-4</v>
      </c>
      <c r="K20">
        <f>_xlfn.HYPGEOM.DIST($A9,$C$2,'Benchmarks by Card Role'!I$2,99,FALSE)</f>
        <v>6.8176323650929668E-4</v>
      </c>
      <c r="L20">
        <f>_xlfn.HYPGEOM.DIST($A9,$C$2,'Benchmarks by Card Role'!J$2,99,FALSE)</f>
        <v>8.701707406158541E-4</v>
      </c>
      <c r="M20">
        <f>_xlfn.HYPGEOM.DIST($A9,$C$2,'Benchmarks by Card Role'!K$2,99,FALSE)</f>
        <v>1.101309843591938E-3</v>
      </c>
      <c r="N20">
        <f>_xlfn.HYPGEOM.DIST($A9,$C$2,'Benchmarks by Card Role'!L$2,99,FALSE)</f>
        <v>1.3828159721948053E-3</v>
      </c>
      <c r="P20">
        <f>_xlfn.HYPGEOM.DIST($A9,$C$2,'Benchmarks by Card Role'!D$12,99,FALSE)</f>
        <v>0</v>
      </c>
      <c r="Q20">
        <f>_xlfn.HYPGEOM.DIST($A9,$C$2,'Benchmarks by Card Role'!E$12,99,FALSE)</f>
        <v>5.256982853425828E-11</v>
      </c>
      <c r="R20">
        <f>_xlfn.HYPGEOM.DIST($A9,$C$2,'Benchmarks by Card Role'!F$12,99,FALSE)</f>
        <v>4.6792924299724323E-10</v>
      </c>
      <c r="S20">
        <f>_xlfn.HYPGEOM.DIST($A9,$C$2,'Benchmarks by Card Role'!G$12,99,FALSE)</f>
        <v>2.3136501459308279E-9</v>
      </c>
      <c r="T20">
        <f>_xlfn.HYPGEOM.DIST($A9,$C$2,'Benchmarks by Card Role'!H$12,99,FALSE)</f>
        <v>8.3880649485431765E-9</v>
      </c>
      <c r="U20">
        <f>_xlfn.HYPGEOM.DIST($A9,$C$2,'Benchmarks by Card Role'!I$12,99,FALSE)</f>
        <v>2.4878238086020099E-8</v>
      </c>
      <c r="V20">
        <f>_xlfn.HYPGEOM.DIST($A9,$C$2,'Benchmarks by Card Role'!J$12,99,FALSE)</f>
        <v>6.3939931448667837E-8</v>
      </c>
      <c r="W20">
        <f>_xlfn.HYPGEOM.DIST($A9,$C$2,'Benchmarks by Card Role'!K$12,99,FALSE)</f>
        <v>1.4745836903859443E-7</v>
      </c>
      <c r="X20">
        <f>_xlfn.HYPGEOM.DIST($A9,$C$2,'Benchmarks by Card Role'!L$12,99,FALSE)</f>
        <v>3.1226478149349442E-7</v>
      </c>
      <c r="Z20">
        <f>_xlfn.HYPGEOM.DIST($A9,$C$2,'Benchmarks by Card Role'!D$22,99,FALSE)</f>
        <v>0</v>
      </c>
      <c r="AA20">
        <f>_xlfn.HYPGEOM.DIST($A9,$C$2,'Benchmarks by Card Role'!E$22,99,FALSE)</f>
        <v>5.256982853425828E-11</v>
      </c>
      <c r="AB20">
        <f>_xlfn.HYPGEOM.DIST($A9,$C$2,'Benchmarks by Card Role'!F$22,99,FALSE)</f>
        <v>4.6792924299724323E-10</v>
      </c>
      <c r="AC20">
        <f>_xlfn.HYPGEOM.DIST($A9,$C$2,'Benchmarks by Card Role'!G$22,99,FALSE)</f>
        <v>2.3136501459308279E-9</v>
      </c>
      <c r="AD20">
        <f>_xlfn.HYPGEOM.DIST($A9,$C$2,'Benchmarks by Card Role'!H$22,99,FALSE)</f>
        <v>8.3880649485431765E-9</v>
      </c>
      <c r="AE20">
        <f>_xlfn.HYPGEOM.DIST($A9,$C$2,'Benchmarks by Card Role'!I$22,99,FALSE)</f>
        <v>2.4878238086020099E-8</v>
      </c>
      <c r="AF20">
        <f>_xlfn.HYPGEOM.DIST($A9,$C$2,'Benchmarks by Card Role'!J$22,99,FALSE)</f>
        <v>6.3939931448667837E-8</v>
      </c>
      <c r="AG20">
        <f>_xlfn.HYPGEOM.DIST($A9,$C$2,'Benchmarks by Card Role'!K$22,99,FALSE)</f>
        <v>1.4745836903859443E-7</v>
      </c>
      <c r="AH20">
        <f>_xlfn.HYPGEOM.DIST($A9,$C$2,'Benchmarks by Card Role'!L$22,99,FALSE)</f>
        <v>3.1226478149349442E-7</v>
      </c>
      <c r="AJ20">
        <f>_xlfn.HYPGEOM.DIST($A9,$C$2,'Benchmarks by Card Role'!D$32,99,FALSE)</f>
        <v>0</v>
      </c>
      <c r="AK20">
        <f>_xlfn.HYPGEOM.DIST($A9,$C$2,'Benchmarks by Card Role'!E$32,99,FALSE)</f>
        <v>0</v>
      </c>
      <c r="AL20">
        <f>_xlfn.HYPGEOM.DIST($A9,$C$2,'Benchmarks by Card Role'!F$32,99,FALSE)</f>
        <v>0</v>
      </c>
      <c r="AM20">
        <f>_xlfn.HYPGEOM.DIST($A9,$C$2,'Benchmarks by Card Role'!G$32,99,FALSE)</f>
        <v>0</v>
      </c>
      <c r="AN20">
        <f>_xlfn.HYPGEOM.DIST($A9,$C$2,'Benchmarks by Card Role'!H$32,99,FALSE)</f>
        <v>0</v>
      </c>
      <c r="AO20">
        <f>_xlfn.HYPGEOM.DIST($A9,$C$2,'Benchmarks by Card Role'!I$32,99,FALSE)</f>
        <v>0</v>
      </c>
      <c r="AP20">
        <f>_xlfn.HYPGEOM.DIST($A9,$C$2,'Benchmarks by Card Role'!J$32,99,FALSE)</f>
        <v>0</v>
      </c>
      <c r="AQ20">
        <f>_xlfn.HYPGEOM.DIST($A9,$C$2,'Benchmarks by Card Role'!K$32,99,FALSE)</f>
        <v>0</v>
      </c>
      <c r="AR20">
        <f>_xlfn.HYPGEOM.DIST($A9,$C$2,'Benchmarks by Card Role'!L$32,99,FALSE)</f>
        <v>5.256982853425828E-11</v>
      </c>
      <c r="AT20">
        <f>_xlfn.HYPGEOM.DIST($A9,$C$2,'Benchmarks by Card Role'!D$42,99,FALSE)</f>
        <v>4.6792924299724323E-10</v>
      </c>
      <c r="AU20">
        <f>_xlfn.HYPGEOM.DIST($A9,$C$2,'Benchmarks by Card Role'!E$42,99,FALSE)</f>
        <v>2.3136501459308279E-9</v>
      </c>
      <c r="AV20">
        <f>_xlfn.HYPGEOM.DIST($A9,$C$2,'Benchmarks by Card Role'!F$42,99,FALSE)</f>
        <v>8.3880649485431765E-9</v>
      </c>
      <c r="AW20">
        <f>_xlfn.HYPGEOM.DIST($A9,$C$2,'Benchmarks by Card Role'!G$42,99,FALSE)</f>
        <v>2.4878238086020099E-8</v>
      </c>
      <c r="AX20">
        <f>_xlfn.HYPGEOM.DIST($A9,$C$2,'Benchmarks by Card Role'!H$42,99,FALSE)</f>
        <v>6.3939931448667837E-8</v>
      </c>
      <c r="AY20">
        <f>_xlfn.HYPGEOM.DIST($A9,$C$2,'Benchmarks by Card Role'!I$42,99,FALSE)</f>
        <v>1.4745836903859443E-7</v>
      </c>
      <c r="AZ20">
        <f>_xlfn.HYPGEOM.DIST($A9,$C$2,'Benchmarks by Card Role'!J$42,99,FALSE)</f>
        <v>3.1226478149349442E-7</v>
      </c>
      <c r="BA20">
        <f>_xlfn.HYPGEOM.DIST($A9,$C$2,'Benchmarks by Card Role'!K$42,99,FALSE)</f>
        <v>6.1709468723714274E-7</v>
      </c>
      <c r="BB20">
        <f>_xlfn.HYPGEOM.DIST($A9,$C$2,'Benchmarks by Card Role'!L$42,99,FALSE)</f>
        <v>1.1515796439204511E-6</v>
      </c>
    </row>
    <row r="21" spans="6:54" x14ac:dyDescent="0.25">
      <c r="F21">
        <f>SUM(F12*$A$1,F13*$A$2,F14*$A$3,F15*$A$4,F16*$A$5,F17*$A$6,F18*$A$7,F19*$A$8,F20*$A$9)</f>
        <v>2.6363115662113237</v>
      </c>
      <c r="G21">
        <f t="shared" ref="G21" si="12">SUM(G12*$A$1,G13*$A$2,G14*$A$3,G15*$A$4,G16*$A$5,G17*$A$6,G18*$A$7,G19*$A$8,G20*$A$9)</f>
        <v>2.7271983413408507</v>
      </c>
      <c r="H21">
        <f t="shared" ref="H21" si="13">SUM(H12*$A$1,H13*$A$2,H14*$A$3,H15*$A$4,H16*$A$5,H17*$A$6,H18*$A$7,H19*$A$8,H20*$A$9)</f>
        <v>2.8180770016414463</v>
      </c>
      <c r="I21">
        <f t="shared" ref="I21" si="14">SUM(I12*$A$1,I13*$A$2,I14*$A$3,I15*$A$4,I16*$A$5,I17*$A$6,I18*$A$7,I19*$A$8,I20*$A$9)</f>
        <v>2.9089450773825649</v>
      </c>
      <c r="J21">
        <f t="shared" ref="J21" si="15">SUM(J12*$A$1,J13*$A$2,J14*$A$3,J15*$A$4,J16*$A$5,J17*$A$6,J18*$A$7,J19*$A$8,J20*$A$9)</f>
        <v>2.9997994814010278</v>
      </c>
      <c r="K21">
        <f t="shared" ref="K21" si="16">SUM(K12*$A$1,K13*$A$2,K14*$A$3,K15*$A$4,K16*$A$5,K17*$A$6,K18*$A$7,K19*$A$8,K20*$A$9)</f>
        <v>3.0906363856144892</v>
      </c>
      <c r="L21">
        <f t="shared" ref="L21" si="17">SUM(L12*$A$1,L13*$A$2,L14*$A$3,L15*$A$4,L16*$A$5,L17*$A$6,L18*$A$7,L19*$A$8,L20*$A$9)</f>
        <v>3.1814510785369845</v>
      </c>
      <c r="M21">
        <f t="shared" ref="M21" si="18">SUM(M12*$A$1,M13*$A$2,M14*$A$3,M15*$A$4,M16*$A$5,M17*$A$6,M18*$A$7,M19*$A$8,M20*$A$9)</f>
        <v>3.2722378016856761</v>
      </c>
      <c r="N21">
        <f t="shared" ref="N21" si="19">SUM(N12*$A$1,N13*$A$2,N14*$A$3,N15*$A$4,N16*$A$5,N17*$A$6,N18*$A$7,N19*$A$8,N20*$A$9)</f>
        <v>3.3629895626171118</v>
      </c>
      <c r="P21">
        <f>SUM(P12*$A$1,P13*$A$2,P14*$A$3,P15*$A$4,P16*$A$5,P17*$A$6,P18*$A$7,P19*$A$8,P20*$A$9)</f>
        <v>0.63636363636363635</v>
      </c>
      <c r="Q21">
        <f t="shared" ref="Q21" si="20">SUM(Q12*$A$1,Q13*$A$2,Q14*$A$3,Q15*$A$4,Q16*$A$5,Q17*$A$6,Q18*$A$7,Q19*$A$8,Q20*$A$9)</f>
        <v>0.72727272727272718</v>
      </c>
      <c r="R21">
        <f t="shared" ref="R21" si="21">SUM(R12*$A$1,R13*$A$2,R14*$A$3,R15*$A$4,R16*$A$5,R17*$A$6,R18*$A$7,R19*$A$8,R20*$A$9)</f>
        <v>0.81818181817661884</v>
      </c>
      <c r="S21">
        <f t="shared" ref="S21" si="22">SUM(S12*$A$1,S13*$A$2,S14*$A$3,S15*$A$4,S16*$A$5,S17*$A$6,S18*$A$7,S19*$A$8,S20*$A$9)</f>
        <v>0.90909090903891676</v>
      </c>
      <c r="T21">
        <f t="shared" ref="T21" si="23">SUM(T12*$A$1,T13*$A$2,T14*$A$3,T15*$A$4,T16*$A$5,T17*$A$6,T18*$A$7,T19*$A$8,T20*$A$9)</f>
        <v>0.99999999971404374</v>
      </c>
      <c r="U21">
        <f t="shared" ref="U21" si="24">SUM(U12*$A$1,U13*$A$2,U14*$A$3,U15*$A$4,U16*$A$5,U17*$A$6,U18*$A$7,U19*$A$8,U20*$A$9)</f>
        <v>1.090909089765264</v>
      </c>
      <c r="V21">
        <f t="shared" ref="V21" si="25">SUM(V12*$A$1,V13*$A$2,V14*$A$3,V15*$A$4,V16*$A$5,V17*$A$6,V18*$A$7,V19*$A$8,V20*$A$9)</f>
        <v>1.1818181781007435</v>
      </c>
      <c r="W21">
        <f t="shared" ref="W21:X21" si="26">SUM(W12*$A$1,W13*$A$2,W14*$A$3,W15*$A$4,W16*$A$5,W17*$A$6,W18*$A$7,W19*$A$8,W20*$A$9)</f>
        <v>1.2727272623184462</v>
      </c>
      <c r="X21">
        <f t="shared" si="26"/>
        <v>1.3636363376142984</v>
      </c>
      <c r="Z21">
        <f>SUM(Z12*$A$1,Z13*$A$2,Z14*$A$3,Z15*$A$4,Z16*$A$5,Z17*$A$6,Z18*$A$7,Z19*$A$8,Z20*$A$9)</f>
        <v>0.63636363636363635</v>
      </c>
      <c r="AA21">
        <f t="shared" ref="AA21:AH21" si="27">SUM(AA12*$A$1,AA13*$A$2,AA14*$A$3,AA15*$A$4,AA16*$A$5,AA17*$A$6,AA18*$A$7,AA19*$A$8,AA20*$A$9)</f>
        <v>0.72727272727272718</v>
      </c>
      <c r="AB21">
        <f t="shared" si="27"/>
        <v>0.81818181817661884</v>
      </c>
      <c r="AC21">
        <f t="shared" si="27"/>
        <v>0.90909090903891676</v>
      </c>
      <c r="AD21">
        <f t="shared" si="27"/>
        <v>0.99999999971404374</v>
      </c>
      <c r="AE21">
        <f t="shared" si="27"/>
        <v>1.090909089765264</v>
      </c>
      <c r="AF21">
        <f t="shared" si="27"/>
        <v>1.1818181781007435</v>
      </c>
      <c r="AG21">
        <f t="shared" si="27"/>
        <v>1.2727272623184462</v>
      </c>
      <c r="AH21">
        <f t="shared" si="27"/>
        <v>1.3636363376142984</v>
      </c>
      <c r="AJ21">
        <f>SUM(AJ12*$A$1,AJ13*$A$2,AJ14*$A$3,AJ15*$A$4,AJ16*$A$5,AJ17*$A$6,AJ18*$A$7,AJ19*$A$8,AJ20*$A$9)</f>
        <v>0</v>
      </c>
      <c r="AK21">
        <f t="shared" ref="AK21:AR21" si="28">SUM(AK12*$A$1,AK13*$A$2,AK14*$A$3,AK15*$A$4,AK16*$A$5,AK17*$A$6,AK18*$A$7,AK19*$A$8,AK20*$A$9)</f>
        <v>9.0909090909090912E-2</v>
      </c>
      <c r="AL21">
        <f t="shared" si="28"/>
        <v>0.18181818181818188</v>
      </c>
      <c r="AM21">
        <f t="shared" si="28"/>
        <v>0.27272727272727271</v>
      </c>
      <c r="AN21">
        <f t="shared" si="28"/>
        <v>0.36363636363636354</v>
      </c>
      <c r="AO21">
        <f t="shared" si="28"/>
        <v>0.45454545454545464</v>
      </c>
      <c r="AP21">
        <f t="shared" si="28"/>
        <v>0.54545454545454553</v>
      </c>
      <c r="AQ21">
        <f t="shared" si="28"/>
        <v>0.63636363636363635</v>
      </c>
      <c r="AR21">
        <f t="shared" si="28"/>
        <v>0.72727272727272718</v>
      </c>
      <c r="AT21">
        <f>SUM(AT12*$A$1,AT13*$A$2,AT14*$A$3,AT15*$A$4,AT16*$A$5,AT17*$A$6,AT18*$A$7,AT19*$A$8,AT20*$A$9)</f>
        <v>0.81818181817661884</v>
      </c>
      <c r="AU21">
        <f t="shared" ref="AU21:BB21" si="29">SUM(AU12*$A$1,AU13*$A$2,AU14*$A$3,AU15*$A$4,AU16*$A$5,AU17*$A$6,AU18*$A$7,AU19*$A$8,AU20*$A$9)</f>
        <v>0.90909090903891676</v>
      </c>
      <c r="AV21">
        <f t="shared" si="29"/>
        <v>0.99999999971404374</v>
      </c>
      <c r="AW21">
        <f t="shared" si="29"/>
        <v>1.090909089765264</v>
      </c>
      <c r="AX21">
        <f t="shared" si="29"/>
        <v>1.1818181781007435</v>
      </c>
      <c r="AY21">
        <f t="shared" si="29"/>
        <v>1.2727272623184462</v>
      </c>
      <c r="AZ21">
        <f t="shared" si="29"/>
        <v>1.3636363376142984</v>
      </c>
      <c r="BA21">
        <f t="shared" si="29"/>
        <v>1.4545453950664489</v>
      </c>
      <c r="BB21">
        <f t="shared" si="29"/>
        <v>1.5454544190616581</v>
      </c>
    </row>
    <row r="23" spans="6:54" x14ac:dyDescent="0.25">
      <c r="F23">
        <f>_xlfn.HYPGEOM.DIST($A1,$C$3,'Benchmarks by Card Role'!D$2,99,FALSE)</f>
        <v>2.5463600508912863E-2</v>
      </c>
      <c r="G23">
        <f>_xlfn.HYPGEOM.DIST($A1,$C$3,'Benchmarks by Card Role'!E$2,99,FALSE)</f>
        <v>2.182594329335388E-2</v>
      </c>
      <c r="H23">
        <f>_xlfn.HYPGEOM.DIST($A1,$C$3,'Benchmarks by Card Role'!F$2,99,FALSE)</f>
        <v>1.8662763105911265E-2</v>
      </c>
      <c r="I23">
        <f>_xlfn.HYPGEOM.DIST($A1,$C$3,'Benchmarks by Card Role'!G$2,99,FALSE)</f>
        <v>1.5918239119747841E-2</v>
      </c>
      <c r="J23">
        <f>_xlfn.HYPGEOM.DIST($A1,$C$3,'Benchmarks by Card Role'!H$2,99,FALSE)</f>
        <v>1.3542382534710861E-2</v>
      </c>
      <c r="K23">
        <f>_xlfn.HYPGEOM.DIST($A1,$C$3,'Benchmarks by Card Role'!I$2,99,FALSE)</f>
        <v>1.1490506393087997E-2</v>
      </c>
      <c r="L23">
        <f>_xlfn.HYPGEOM.DIST($A1,$C$3,'Benchmarks by Card Role'!J$2,99,FALSE)</f>
        <v>9.7227361787667662E-3</v>
      </c>
      <c r="M23">
        <f>_xlfn.HYPGEOM.DIST($A1,$C$3,'Benchmarks by Card Role'!K$2,99,FALSE)</f>
        <v>8.2035586508344468E-3</v>
      </c>
      <c r="N23">
        <f>_xlfn.HYPGEOM.DIST($A1,$C$3,'Benchmarks by Card Role'!L$2,99,FALSE)</f>
        <v>6.9014064840353436E-3</v>
      </c>
      <c r="P23">
        <f>_xlfn.HYPGEOM.DIST($A1,$C$3,'Benchmarks by Card Role'!D$12,99,FALSE)</f>
        <v>0.46283696999198082</v>
      </c>
      <c r="Q23">
        <f>_xlfn.HYPGEOM.DIST($A1,$C$3,'Benchmarks by Card Role'!E$12,99,FALSE)</f>
        <v>0.41252860368850447</v>
      </c>
      <c r="R23">
        <f>_xlfn.HYPGEOM.DIST($A1,$C$3,'Benchmarks by Card Role'!F$12,99,FALSE)</f>
        <v>0.36719579009636133</v>
      </c>
      <c r="S23">
        <f>_xlfn.HYPGEOM.DIST($A1,$C$3,'Benchmarks by Card Role'!G$12,99,FALSE)</f>
        <v>0.32639625786343207</v>
      </c>
      <c r="T23">
        <f>_xlfn.HYPGEOM.DIST($A1,$C$3,'Benchmarks by Card Role'!H$12,99,FALSE)</f>
        <v>0.28972252102484447</v>
      </c>
      <c r="U23">
        <f>_xlfn.HYPGEOM.DIST($A1,$C$3,'Benchmarks by Card Role'!I$12,99,FALSE)</f>
        <v>0.25679950727202111</v>
      </c>
      <c r="V23">
        <f>_xlfn.HYPGEOM.DIST($A1,$C$3,'Benchmarks by Card Role'!J$12,99,FALSE)</f>
        <v>0.22728232252811062</v>
      </c>
      <c r="W23">
        <f>_xlfn.HYPGEOM.DIST($A1,$C$3,'Benchmarks by Card Role'!K$12,99,FALSE)</f>
        <v>0.20085414548995836</v>
      </c>
      <c r="X23">
        <f>_xlfn.HYPGEOM.DIST($A1,$C$3,'Benchmarks by Card Role'!L$12,99,FALSE)</f>
        <v>0.17722424602055137</v>
      </c>
      <c r="Z23">
        <f>_xlfn.HYPGEOM.DIST($A1,$C$3,'Benchmarks by Card Role'!D$22,99,FALSE)</f>
        <v>0.46283696999198082</v>
      </c>
      <c r="AA23">
        <f>_xlfn.HYPGEOM.DIST($A1,$C$3,'Benchmarks by Card Role'!E$22,99,FALSE)</f>
        <v>0.41252860368850447</v>
      </c>
      <c r="AB23">
        <f>_xlfn.HYPGEOM.DIST($A1,$C$3,'Benchmarks by Card Role'!F$22,99,FALSE)</f>
        <v>0.36719579009636133</v>
      </c>
      <c r="AC23">
        <f>_xlfn.HYPGEOM.DIST($A1,$C$3,'Benchmarks by Card Role'!G$22,99,FALSE)</f>
        <v>0.32639625786343207</v>
      </c>
      <c r="AD23">
        <f>_xlfn.HYPGEOM.DIST($A1,$C$3,'Benchmarks by Card Role'!H$22,99,FALSE)</f>
        <v>0.28972252102484447</v>
      </c>
      <c r="AE23">
        <f>_xlfn.HYPGEOM.DIST($A1,$C$3,'Benchmarks by Card Role'!I$22,99,FALSE)</f>
        <v>0.25679950727202111</v>
      </c>
      <c r="AF23">
        <f>_xlfn.HYPGEOM.DIST($A1,$C$3,'Benchmarks by Card Role'!J$22,99,FALSE)</f>
        <v>0.22728232252811062</v>
      </c>
      <c r="AG23">
        <f>_xlfn.HYPGEOM.DIST($A1,$C$3,'Benchmarks by Card Role'!K$22,99,FALSE)</f>
        <v>0.20085414548995836</v>
      </c>
      <c r="AH23">
        <f>_xlfn.HYPGEOM.DIST($A1,$C$3,'Benchmarks by Card Role'!L$22,99,FALSE)</f>
        <v>0.17722424602055137</v>
      </c>
      <c r="AJ23">
        <f>_xlfn.HYPGEOM.DIST($A1,$C$3,'Benchmarks by Card Role'!D$32,99,FALSE)</f>
        <v>0.99999999999999989</v>
      </c>
      <c r="AK23">
        <f>_xlfn.HYPGEOM.DIST($A1,$C$3,'Benchmarks by Card Role'!E$32,99,FALSE)</f>
        <v>0.89898989898989901</v>
      </c>
      <c r="AL23">
        <f>_xlfn.HYPGEOM.DIST($A1,$C$3,'Benchmarks by Card Role'!F$32,99,FALSE)</f>
        <v>0.80725623582766448</v>
      </c>
      <c r="AM23">
        <f>_xlfn.HYPGEOM.DIST($A1,$C$3,'Benchmarks by Card Role'!G$32,99,FALSE)</f>
        <v>0.72403394347429717</v>
      </c>
      <c r="AN23">
        <f>_xlfn.HYPGEOM.DIST($A1,$C$3,'Benchmarks by Card Role'!H$32,99,FALSE)</f>
        <v>0.64861374102905744</v>
      </c>
      <c r="AO23">
        <f>_xlfn.HYPGEOM.DIST($A1,$C$3,'Benchmarks by Card Role'!I$32,99,FALSE)</f>
        <v>0.58033861039442003</v>
      </c>
      <c r="AP23">
        <f>_xlfn.HYPGEOM.DIST($A1,$C$3,'Benchmarks by Card Role'!J$32,99,FALSE)</f>
        <v>0.51860046035246044</v>
      </c>
      <c r="AQ23">
        <f>_xlfn.HYPGEOM.DIST($A1,$C$3,'Benchmarks by Card Role'!K$32,99,FALSE)</f>
        <v>0.46283696999198082</v>
      </c>
      <c r="AR23">
        <f>_xlfn.HYPGEOM.DIST($A1,$C$3,'Benchmarks by Card Role'!L$32,99,FALSE)</f>
        <v>0.41252860368850447</v>
      </c>
      <c r="AT23">
        <f>_xlfn.HYPGEOM.DIST($A1,$C$3,'Benchmarks by Card Role'!D$42,99,FALSE)</f>
        <v>0.36719579009636133</v>
      </c>
      <c r="AU23">
        <f>_xlfn.HYPGEOM.DIST($A1,$C$3,'Benchmarks by Card Role'!E$42,99,FALSE)</f>
        <v>0.32639625786343207</v>
      </c>
      <c r="AV23">
        <f>_xlfn.HYPGEOM.DIST($A1,$C$3,'Benchmarks by Card Role'!F$42,99,FALSE)</f>
        <v>0.28972252102484447</v>
      </c>
      <c r="AW23">
        <f>_xlfn.HYPGEOM.DIST($A1,$C$3,'Benchmarks by Card Role'!G$42,99,FALSE)</f>
        <v>0.25679950727202111</v>
      </c>
      <c r="AX23">
        <f>_xlfn.HYPGEOM.DIST($A1,$C$3,'Benchmarks by Card Role'!H$42,99,FALSE)</f>
        <v>0.22728232252811062</v>
      </c>
      <c r="AY23">
        <f>_xlfn.HYPGEOM.DIST($A1,$C$3,'Benchmarks by Card Role'!I$42,99,FALSE)</f>
        <v>0.20085414548995836</v>
      </c>
      <c r="AZ23">
        <f>_xlfn.HYPGEOM.DIST($A1,$C$3,'Benchmarks by Card Role'!J$42,99,FALSE)</f>
        <v>0.17722424602055137</v>
      </c>
      <c r="BA23">
        <f>_xlfn.HYPGEOM.DIST($A1,$C$3,'Benchmarks by Card Role'!K$42,99,FALSE)</f>
        <v>0.15612612149429525</v>
      </c>
      <c r="BB23">
        <f>_xlfn.HYPGEOM.DIST($A1,$C$3,'Benchmarks by Card Role'!L$42,99,FALSE)</f>
        <v>0.13731574541064523</v>
      </c>
    </row>
    <row r="24" spans="6:54" x14ac:dyDescent="0.25">
      <c r="F24">
        <f>_xlfn.HYPGEOM.DIST($A2,$C$3,'Benchmarks by Card Role'!D$2,99,FALSE)</f>
        <v>0.12105646143581526</v>
      </c>
      <c r="G24">
        <f>_xlfn.HYPGEOM.DIST($A2,$C$3,'Benchmarks by Card Role'!E$2,99,FALSE)</f>
        <v>0.10912971646676932</v>
      </c>
      <c r="H24">
        <f>_xlfn.HYPGEOM.DIST($A2,$C$3,'Benchmarks by Card Role'!F$2,99,FALSE)</f>
        <v>9.8058585810720272E-2</v>
      </c>
      <c r="I24">
        <f>_xlfn.HYPGEOM.DIST($A2,$C$3,'Benchmarks by Card Role'!G$2,99,FALSE)</f>
        <v>8.7824767557229497E-2</v>
      </c>
      <c r="J24">
        <f>_xlfn.HYPGEOM.DIST($A2,$C$3,'Benchmarks by Card Role'!H$2,99,FALSE)</f>
        <v>7.8403267306220742E-2</v>
      </c>
      <c r="K24">
        <f>_xlfn.HYPGEOM.DIST($A2,$C$3,'Benchmarks by Card Role'!I$2,99,FALSE)</f>
        <v>6.9763788815177127E-2</v>
      </c>
      <c r="L24">
        <f>_xlfn.HYPGEOM.DIST($A2,$C$3,'Benchmarks by Card Role'!J$2,99,FALSE)</f>
        <v>6.1871957501243011E-2</v>
      </c>
      <c r="M24">
        <f>_xlfn.HYPGEOM.DIST($A2,$C$3,'Benchmarks by Card Role'!K$2,99,FALSE)</f>
        <v>5.4690391005563083E-2</v>
      </c>
      <c r="N24">
        <f>_xlfn.HYPGEOM.DIST($A2,$C$3,'Benchmarks by Card Role'!L$2,99,FALSE)</f>
        <v>4.8179630171567484E-2</v>
      </c>
      <c r="P24">
        <f>_xlfn.HYPGEOM.DIST($A2,$C$3,'Benchmarks by Card Role'!D$12,99,FALSE)</f>
        <v>0.39034443252335727</v>
      </c>
      <c r="Q24">
        <f>_xlfn.HYPGEOM.DIST($A2,$C$3,'Benchmarks by Card Role'!E$12,99,FALSE)</f>
        <v>0.40246693042780929</v>
      </c>
      <c r="R24">
        <f>_xlfn.HYPGEOM.DIST($A2,$C$3,'Benchmarks by Card Role'!F$12,99,FALSE)</f>
        <v>0.40799532232929037</v>
      </c>
      <c r="S24">
        <f>_xlfn.HYPGEOM.DIST($A2,$C$3,'Benchmarks by Card Role'!G$12,99,FALSE)</f>
        <v>0.40799532232929053</v>
      </c>
      <c r="T24">
        <f>_xlfn.HYPGEOM.DIST($A2,$C$3,'Benchmarks by Card Role'!H$12,99,FALSE)</f>
        <v>0.40341110522446688</v>
      </c>
      <c r="U24">
        <f>_xlfn.HYPGEOM.DIST($A2,$C$3,'Benchmarks by Card Role'!I$12,99,FALSE)</f>
        <v>0.3950761650338786</v>
      </c>
      <c r="V24">
        <f>_xlfn.HYPGEOM.DIST($A2,$C$3,'Benchmarks by Card Role'!J$12,99,FALSE)</f>
        <v>0.38372340167083607</v>
      </c>
      <c r="W24">
        <f>_xlfn.HYPGEOM.DIST($A2,$C$3,'Benchmarks by Card Role'!K$12,99,FALSE)</f>
        <v>0.3699944785341337</v>
      </c>
      <c r="X24">
        <f>_xlfn.HYPGEOM.DIST($A2,$C$3,'Benchmarks by Card Role'!L$12,99,FALSE)</f>
        <v>0.35444849204110296</v>
      </c>
      <c r="Z24">
        <f>_xlfn.HYPGEOM.DIST($A2,$C$3,'Benchmarks by Card Role'!D$22,99,FALSE)</f>
        <v>0.39034443252335727</v>
      </c>
      <c r="AA24">
        <f>_xlfn.HYPGEOM.DIST($A2,$C$3,'Benchmarks by Card Role'!E$22,99,FALSE)</f>
        <v>0.40246693042780929</v>
      </c>
      <c r="AB24">
        <f>_xlfn.HYPGEOM.DIST($A2,$C$3,'Benchmarks by Card Role'!F$22,99,FALSE)</f>
        <v>0.40799532232929037</v>
      </c>
      <c r="AC24">
        <f>_xlfn.HYPGEOM.DIST($A2,$C$3,'Benchmarks by Card Role'!G$22,99,FALSE)</f>
        <v>0.40799532232929053</v>
      </c>
      <c r="AD24">
        <f>_xlfn.HYPGEOM.DIST($A2,$C$3,'Benchmarks by Card Role'!H$22,99,FALSE)</f>
        <v>0.40341110522446688</v>
      </c>
      <c r="AE24">
        <f>_xlfn.HYPGEOM.DIST($A2,$C$3,'Benchmarks by Card Role'!I$22,99,FALSE)</f>
        <v>0.3950761650338786</v>
      </c>
      <c r="AF24">
        <f>_xlfn.HYPGEOM.DIST($A2,$C$3,'Benchmarks by Card Role'!J$22,99,FALSE)</f>
        <v>0.38372340167083607</v>
      </c>
      <c r="AG24">
        <f>_xlfn.HYPGEOM.DIST($A2,$C$3,'Benchmarks by Card Role'!K$22,99,FALSE)</f>
        <v>0.3699944785341337</v>
      </c>
      <c r="AH24">
        <f>_xlfn.HYPGEOM.DIST($A2,$C$3,'Benchmarks by Card Role'!L$22,99,FALSE)</f>
        <v>0.35444849204110296</v>
      </c>
      <c r="AJ24">
        <f>_xlfn.HYPGEOM.DIST($A2,$C$3,'Benchmarks by Card Role'!D$32,99,FALSE)</f>
        <v>0</v>
      </c>
      <c r="AK24">
        <f>_xlfn.HYPGEOM.DIST($A2,$C$3,'Benchmarks by Card Role'!E$32,99,FALSE)</f>
        <v>0.10101010101010102</v>
      </c>
      <c r="AL24">
        <f>_xlfn.HYPGEOM.DIST($A2,$C$3,'Benchmarks by Card Role'!F$32,99,FALSE)</f>
        <v>0.1834673263244691</v>
      </c>
      <c r="AM24">
        <f>_xlfn.HYPGEOM.DIST($A2,$C$3,'Benchmarks by Card Role'!G$32,99,FALSE)</f>
        <v>0.24966687706010243</v>
      </c>
      <c r="AN24">
        <f>_xlfn.HYPGEOM.DIST($A2,$C$3,'Benchmarks by Card Role'!H$32,99,FALSE)</f>
        <v>0.30168080978095707</v>
      </c>
      <c r="AO24">
        <f>_xlfn.HYPGEOM.DIST($A2,$C$3,'Benchmarks by Card Role'!I$32,99,FALSE)</f>
        <v>0.34137565317318824</v>
      </c>
      <c r="AP24">
        <f>_xlfn.HYPGEOM.DIST($A2,$C$3,'Benchmarks by Card Role'!J$32,99,FALSE)</f>
        <v>0.37042890025175756</v>
      </c>
      <c r="AQ24">
        <f>_xlfn.HYPGEOM.DIST($A2,$C$3,'Benchmarks by Card Role'!K$32,99,FALSE)</f>
        <v>0.39034443252335727</v>
      </c>
      <c r="AR24">
        <f>_xlfn.HYPGEOM.DIST($A2,$C$3,'Benchmarks by Card Role'!L$32,99,FALSE)</f>
        <v>0.40246693042780929</v>
      </c>
      <c r="AT24">
        <f>_xlfn.HYPGEOM.DIST($A2,$C$3,'Benchmarks by Card Role'!D$42,99,FALSE)</f>
        <v>0.40799532232929037</v>
      </c>
      <c r="AU24">
        <f>_xlfn.HYPGEOM.DIST($A2,$C$3,'Benchmarks by Card Role'!E$42,99,FALSE)</f>
        <v>0.40799532232929053</v>
      </c>
      <c r="AV24">
        <f>_xlfn.HYPGEOM.DIST($A2,$C$3,'Benchmarks by Card Role'!F$42,99,FALSE)</f>
        <v>0.40341110522446688</v>
      </c>
      <c r="AW24">
        <f>_xlfn.HYPGEOM.DIST($A2,$C$3,'Benchmarks by Card Role'!G$42,99,FALSE)</f>
        <v>0.3950761650338786</v>
      </c>
      <c r="AX24">
        <f>_xlfn.HYPGEOM.DIST($A2,$C$3,'Benchmarks by Card Role'!H$42,99,FALSE)</f>
        <v>0.38372340167083607</v>
      </c>
      <c r="AY24">
        <f>_xlfn.HYPGEOM.DIST($A2,$C$3,'Benchmarks by Card Role'!I$42,99,FALSE)</f>
        <v>0.3699944785341337</v>
      </c>
      <c r="AZ24">
        <f>_xlfn.HYPGEOM.DIST($A2,$C$3,'Benchmarks by Card Role'!J$42,99,FALSE)</f>
        <v>0.35444849204110296</v>
      </c>
      <c r="BA24">
        <f>_xlfn.HYPGEOM.DIST($A2,$C$3,'Benchmarks by Card Role'!K$42,99,FALSE)</f>
        <v>0.33756999242009789</v>
      </c>
      <c r="BB24">
        <f>_xlfn.HYPGEOM.DIST($A2,$C$3,'Benchmarks by Card Role'!L$42,99,FALSE)</f>
        <v>0.31977639342205066</v>
      </c>
    </row>
    <row r="25" spans="6:54" x14ac:dyDescent="0.25">
      <c r="F25">
        <f>_xlfn.HYPGEOM.DIST($A3,$C$3,'Benchmarks by Card Role'!D$2,99,FALSE)</f>
        <v>0.24601797001472125</v>
      </c>
      <c r="G25">
        <f>_xlfn.HYPGEOM.DIST($A3,$C$3,'Benchmarks by Card Role'!E$2,99,FALSE)</f>
        <v>0.23346603276907218</v>
      </c>
      <c r="H25">
        <f>_xlfn.HYPGEOM.DIST($A3,$C$3,'Benchmarks by Card Role'!F$2,99,FALSE)</f>
        <v>0.22063181807412066</v>
      </c>
      <c r="I25">
        <f>_xlfn.HYPGEOM.DIST($A3,$C$3,'Benchmarks by Card Role'!G$2,99,FALSE)</f>
        <v>0.20765347583446642</v>
      </c>
      <c r="J25">
        <f>_xlfn.HYPGEOM.DIST($A3,$C$3,'Benchmarks by Card Role'!H$2,99,FALSE)</f>
        <v>0.19465638779475511</v>
      </c>
      <c r="K25">
        <f>_xlfn.HYPGEOM.DIST($A3,$C$3,'Benchmarks by Card Role'!I$2,99,FALSE)</f>
        <v>0.18175302875532995</v>
      </c>
      <c r="L25">
        <f>_xlfn.HYPGEOM.DIST($A3,$C$3,'Benchmarks by Card Role'!J$2,99,FALSE)</f>
        <v>0.16904302674446775</v>
      </c>
      <c r="M25">
        <f>_xlfn.HYPGEOM.DIST($A3,$C$3,'Benchmarks by Card Role'!K$2,99,FALSE)</f>
        <v>0.15661339242502154</v>
      </c>
      <c r="N25">
        <f>_xlfn.HYPGEOM.DIST($A3,$C$3,'Benchmarks by Card Role'!L$2,99,FALSE)</f>
        <v>0.14453889051470251</v>
      </c>
      <c r="P25">
        <f>_xlfn.HYPGEOM.DIST($A3,$C$3,'Benchmarks by Card Role'!D$12,99,FALSE)</f>
        <v>0.12546785331107926</v>
      </c>
      <c r="Q25">
        <f>_xlfn.HYPGEOM.DIST($A3,$C$3,'Benchmarks by Card Role'!E$12,99,FALSE)</f>
        <v>0.15274347359609633</v>
      </c>
      <c r="R25">
        <f>_xlfn.HYPGEOM.DIST($A3,$C$3,'Benchmarks by Card Role'!F$12,99,FALSE)</f>
        <v>0.17911989760798105</v>
      </c>
      <c r="S25">
        <f>_xlfn.HYPGEOM.DIST($A3,$C$3,'Benchmarks by Card Role'!G$12,99,FALSE)</f>
        <v>0.20399766116464516</v>
      </c>
      <c r="T25">
        <f>_xlfn.HYPGEOM.DIST($A3,$C$3,'Benchmarks by Card Role'!H$12,99,FALSE)</f>
        <v>0.22691874668876269</v>
      </c>
      <c r="U25">
        <f>_xlfn.HYPGEOM.DIST($A3,$C$3,'Benchmarks by Card Role'!I$12,99,FALSE)</f>
        <v>0.24754772366046832</v>
      </c>
      <c r="V25">
        <f>_xlfn.HYPGEOM.DIST($A3,$C$3,'Benchmarks by Card Role'!J$12,99,FALSE)</f>
        <v>0.26565466269519417</v>
      </c>
      <c r="W25">
        <f>_xlfn.HYPGEOM.DIST($A3,$C$3,'Benchmarks by Card Role'!K$12,99,FALSE)</f>
        <v>0.28109970122398464</v>
      </c>
      <c r="X25">
        <f>_xlfn.HYPGEOM.DIST($A3,$C$3,'Benchmarks by Card Role'!L$12,99,FALSE)</f>
        <v>0.29381914471828263</v>
      </c>
      <c r="Z25">
        <f>_xlfn.HYPGEOM.DIST($A3,$C$3,'Benchmarks by Card Role'!D$22,99,FALSE)</f>
        <v>0.12546785331107926</v>
      </c>
      <c r="AA25">
        <f>_xlfn.HYPGEOM.DIST($A3,$C$3,'Benchmarks by Card Role'!E$22,99,FALSE)</f>
        <v>0.15274347359609633</v>
      </c>
      <c r="AB25">
        <f>_xlfn.HYPGEOM.DIST($A3,$C$3,'Benchmarks by Card Role'!F$22,99,FALSE)</f>
        <v>0.17911989760798105</v>
      </c>
      <c r="AC25">
        <f>_xlfn.HYPGEOM.DIST($A3,$C$3,'Benchmarks by Card Role'!G$22,99,FALSE)</f>
        <v>0.20399766116464516</v>
      </c>
      <c r="AD25">
        <f>_xlfn.HYPGEOM.DIST($A3,$C$3,'Benchmarks by Card Role'!H$22,99,FALSE)</f>
        <v>0.22691874668876269</v>
      </c>
      <c r="AE25">
        <f>_xlfn.HYPGEOM.DIST($A3,$C$3,'Benchmarks by Card Role'!I$22,99,FALSE)</f>
        <v>0.24754772366046832</v>
      </c>
      <c r="AF25">
        <f>_xlfn.HYPGEOM.DIST($A3,$C$3,'Benchmarks by Card Role'!J$22,99,FALSE)</f>
        <v>0.26565466269519417</v>
      </c>
      <c r="AG25">
        <f>_xlfn.HYPGEOM.DIST($A3,$C$3,'Benchmarks by Card Role'!K$22,99,FALSE)</f>
        <v>0.28109970122398464</v>
      </c>
      <c r="AH25">
        <f>_xlfn.HYPGEOM.DIST($A3,$C$3,'Benchmarks by Card Role'!L$22,99,FALSE)</f>
        <v>0.29381914471828263</v>
      </c>
      <c r="AJ25">
        <f>_xlfn.HYPGEOM.DIST($A3,$C$3,'Benchmarks by Card Role'!D$32,99,FALSE)</f>
        <v>0</v>
      </c>
      <c r="AK25">
        <f>_xlfn.HYPGEOM.DIST($A3,$C$3,'Benchmarks by Card Role'!E$32,99,FALSE)</f>
        <v>0</v>
      </c>
      <c r="AL25">
        <f>_xlfn.HYPGEOM.DIST($A3,$C$3,'Benchmarks by Card Role'!F$32,99,FALSE)</f>
        <v>9.2764378478664179E-3</v>
      </c>
      <c r="AM25">
        <f>_xlfn.HYPGEOM.DIST($A3,$C$3,'Benchmarks by Card Role'!G$32,99,FALSE)</f>
        <v>2.553411242660137E-2</v>
      </c>
      <c r="AN25">
        <f>_xlfn.HYPGEOM.DIST($A3,$C$3,'Benchmarks by Card Role'!H$32,99,FALSE)</f>
        <v>4.6812539448769203E-2</v>
      </c>
      <c r="AO25">
        <f>_xlfn.HYPGEOM.DIST($A3,$C$3,'Benchmarks by Card Role'!I$32,99,FALSE)</f>
        <v>7.1450718106016178E-2</v>
      </c>
      <c r="AP25">
        <f>_xlfn.HYPGEOM.DIST($A3,$C$3,'Benchmarks by Card Role'!J$32,99,FALSE)</f>
        <v>9.8054708890171122E-2</v>
      </c>
      <c r="AQ25">
        <f>_xlfn.HYPGEOM.DIST($A3,$C$3,'Benchmarks by Card Role'!K$32,99,FALSE)</f>
        <v>0.12546785331107926</v>
      </c>
      <c r="AR25">
        <f>_xlfn.HYPGEOM.DIST($A3,$C$3,'Benchmarks by Card Role'!L$32,99,FALSE)</f>
        <v>0.15274347359609633</v>
      </c>
      <c r="AT25">
        <f>_xlfn.HYPGEOM.DIST($A3,$C$3,'Benchmarks by Card Role'!D$42,99,FALSE)</f>
        <v>0.17911989760798105</v>
      </c>
      <c r="AU25">
        <f>_xlfn.HYPGEOM.DIST($A3,$C$3,'Benchmarks by Card Role'!E$42,99,FALSE)</f>
        <v>0.20399766116464516</v>
      </c>
      <c r="AV25">
        <f>_xlfn.HYPGEOM.DIST($A3,$C$3,'Benchmarks by Card Role'!F$42,99,FALSE)</f>
        <v>0.22691874668876269</v>
      </c>
      <c r="AW25">
        <f>_xlfn.HYPGEOM.DIST($A3,$C$3,'Benchmarks by Card Role'!G$42,99,FALSE)</f>
        <v>0.24754772366046832</v>
      </c>
      <c r="AX25">
        <f>_xlfn.HYPGEOM.DIST($A3,$C$3,'Benchmarks by Card Role'!H$42,99,FALSE)</f>
        <v>0.26565466269519417</v>
      </c>
      <c r="AY25">
        <f>_xlfn.HYPGEOM.DIST($A3,$C$3,'Benchmarks by Card Role'!I$42,99,FALSE)</f>
        <v>0.28109970122398464</v>
      </c>
      <c r="AZ25">
        <f>_xlfn.HYPGEOM.DIST($A3,$C$3,'Benchmarks by Card Role'!J$42,99,FALSE)</f>
        <v>0.29381914471828263</v>
      </c>
      <c r="BA25">
        <f>_xlfn.HYPGEOM.DIST($A3,$C$3,'Benchmarks by Card Role'!K$42,99,FALSE)</f>
        <v>0.30381299317808824</v>
      </c>
      <c r="BB25">
        <f>_xlfn.HYPGEOM.DIST($A3,$C$3,'Benchmarks by Card Role'!L$42,99,FALSE)</f>
        <v>0.31113378819442761</v>
      </c>
    </row>
    <row r="26" spans="6:54" x14ac:dyDescent="0.25">
      <c r="F26">
        <f>_xlfn.HYPGEOM.DIST($A4,$C$3,'Benchmarks by Card Role'!D$2,99,FALSE)</f>
        <v>0.28116339430253851</v>
      </c>
      <c r="G26">
        <f>_xlfn.HYPGEOM.DIST($A4,$C$3,'Benchmarks by Card Role'!E$2,99,FALSE)</f>
        <v>0.28116339430253845</v>
      </c>
      <c r="H26">
        <f>_xlfn.HYPGEOM.DIST($A4,$C$3,'Benchmarks by Card Role'!F$2,99,FALSE)</f>
        <v>0.2797080972305791</v>
      </c>
      <c r="I26">
        <f>_xlfn.HYPGEOM.DIST($A4,$C$3,'Benchmarks by Card Role'!G$2,99,FALSE)</f>
        <v>0.27687130111262193</v>
      </c>
      <c r="J26">
        <f>_xlfn.HYPGEOM.DIST($A4,$C$3,'Benchmarks by Card Role'!H$2,99,FALSE)</f>
        <v>0.27273889363332887</v>
      </c>
      <c r="K26">
        <f>_xlfn.HYPGEOM.DIST($A4,$C$3,'Benchmarks by Card Role'!I$2,99,FALSE)</f>
        <v>0.2674067549503707</v>
      </c>
      <c r="L26">
        <f>_xlfn.HYPGEOM.DIST($A4,$C$3,'Benchmarks by Card Role'!J$2,99,FALSE)</f>
        <v>0.26097870795637113</v>
      </c>
      <c r="M26">
        <f>_xlfn.HYPGEOM.DIST($A4,$C$3,'Benchmarks by Card Role'!K$2,99,FALSE)</f>
        <v>0.25356454011670138</v>
      </c>
      <c r="N26">
        <f>_xlfn.HYPGEOM.DIST($A4,$C$3,'Benchmarks by Card Role'!L$2,99,FALSE)</f>
        <v>0.24527811723707077</v>
      </c>
      <c r="P26">
        <f>_xlfn.HYPGEOM.DIST($A4,$C$3,'Benchmarks by Card Role'!D$12,99,FALSE)</f>
        <v>1.9681231891933972E-2</v>
      </c>
      <c r="Q26">
        <f>_xlfn.HYPGEOM.DIST($A4,$C$3,'Benchmarks by Card Role'!E$12,99,FALSE)</f>
        <v>2.9093994970685006E-2</v>
      </c>
      <c r="R26">
        <f>_xlfn.HYPGEOM.DIST($A4,$C$3,'Benchmarks by Card Role'!F$12,99,FALSE)</f>
        <v>4.02839930363331E-2</v>
      </c>
      <c r="S26">
        <f>_xlfn.HYPGEOM.DIST($A4,$C$3,'Benchmarks by Card Role'!G$12,99,FALSE)</f>
        <v>5.3072562254216589E-2</v>
      </c>
      <c r="T26">
        <f>_xlfn.HYPGEOM.DIST($A4,$C$3,'Benchmarks by Card Role'!H$12,99,FALSE)</f>
        <v>6.7235184204077772E-2</v>
      </c>
      <c r="U26">
        <f>_xlfn.HYPGEOM.DIST($A4,$C$3,'Benchmarks by Card Role'!I$12,99,FALSE)</f>
        <v>8.2515907886822754E-2</v>
      </c>
      <c r="V26">
        <f>_xlfn.HYPGEOM.DIST($A4,$C$3,'Benchmarks by Card Role'!J$12,99,FALSE)</f>
        <v>9.8639705979650161E-2</v>
      </c>
      <c r="W26">
        <f>_xlfn.HYPGEOM.DIST($A4,$C$3,'Benchmarks by Card Role'!K$12,99,FALSE)</f>
        <v>0.11532295434830135</v>
      </c>
      <c r="X26">
        <f>_xlfn.HYPGEOM.DIST($A4,$C$3,'Benchmarks by Card Role'!L$12,99,FALSE)</f>
        <v>0.13228221234069862</v>
      </c>
      <c r="Z26">
        <f>_xlfn.HYPGEOM.DIST($A4,$C$3,'Benchmarks by Card Role'!D$22,99,FALSE)</f>
        <v>1.9681231891933972E-2</v>
      </c>
      <c r="AA26">
        <f>_xlfn.HYPGEOM.DIST($A4,$C$3,'Benchmarks by Card Role'!E$22,99,FALSE)</f>
        <v>2.9093994970685006E-2</v>
      </c>
      <c r="AB26">
        <f>_xlfn.HYPGEOM.DIST($A4,$C$3,'Benchmarks by Card Role'!F$22,99,FALSE)</f>
        <v>4.02839930363331E-2</v>
      </c>
      <c r="AC26">
        <f>_xlfn.HYPGEOM.DIST($A4,$C$3,'Benchmarks by Card Role'!G$22,99,FALSE)</f>
        <v>5.3072562254216589E-2</v>
      </c>
      <c r="AD26">
        <f>_xlfn.HYPGEOM.DIST($A4,$C$3,'Benchmarks by Card Role'!H$22,99,FALSE)</f>
        <v>6.7235184204077772E-2</v>
      </c>
      <c r="AE26">
        <f>_xlfn.HYPGEOM.DIST($A4,$C$3,'Benchmarks by Card Role'!I$22,99,FALSE)</f>
        <v>8.2515907886822754E-2</v>
      </c>
      <c r="AF26">
        <f>_xlfn.HYPGEOM.DIST($A4,$C$3,'Benchmarks by Card Role'!J$22,99,FALSE)</f>
        <v>9.8639705979650161E-2</v>
      </c>
      <c r="AG26">
        <f>_xlfn.HYPGEOM.DIST($A4,$C$3,'Benchmarks by Card Role'!K$22,99,FALSE)</f>
        <v>0.11532295434830135</v>
      </c>
      <c r="AH26">
        <f>_xlfn.HYPGEOM.DIST($A4,$C$3,'Benchmarks by Card Role'!L$22,99,FALSE)</f>
        <v>0.13228221234069862</v>
      </c>
      <c r="AJ26">
        <f>_xlfn.HYPGEOM.DIST($A4,$C$3,'Benchmarks by Card Role'!D$32,99,FALSE)</f>
        <v>0</v>
      </c>
      <c r="AK26">
        <f>_xlfn.HYPGEOM.DIST($A4,$C$3,'Benchmarks by Card Role'!E$32,99,FALSE)</f>
        <v>0</v>
      </c>
      <c r="AL26">
        <f>_xlfn.HYPGEOM.DIST($A4,$C$3,'Benchmarks by Card Role'!F$32,99,FALSE)</f>
        <v>0</v>
      </c>
      <c r="AM26">
        <f>_xlfn.HYPGEOM.DIST($A4,$C$3,'Benchmarks by Card Role'!G$32,99,FALSE)</f>
        <v>7.6506703899929232E-4</v>
      </c>
      <c r="AN26">
        <f>_xlfn.HYPGEOM.DIST($A4,$C$3,'Benchmarks by Card Role'!H$32,99,FALSE)</f>
        <v>2.8371236029557092E-3</v>
      </c>
      <c r="AO26">
        <f>_xlfn.HYPGEOM.DIST($A4,$C$3,'Benchmarks by Card Role'!I$32,99,FALSE)</f>
        <v>6.5701809752658552E-3</v>
      </c>
      <c r="AP26">
        <f>_xlfn.HYPGEOM.DIST($A4,$C$3,'Benchmarks by Card Role'!J$32,99,FALSE)</f>
        <v>1.216182435847084E-2</v>
      </c>
      <c r="AQ26">
        <f>_xlfn.HYPGEOM.DIST($A4,$C$3,'Benchmarks by Card Role'!K$32,99,FALSE)</f>
        <v>1.9681231891933972E-2</v>
      </c>
      <c r="AR26">
        <f>_xlfn.HYPGEOM.DIST($A4,$C$3,'Benchmarks by Card Role'!L$32,99,FALSE)</f>
        <v>2.9093994970685006E-2</v>
      </c>
      <c r="AT26">
        <f>_xlfn.HYPGEOM.DIST($A4,$C$3,'Benchmarks by Card Role'!D$42,99,FALSE)</f>
        <v>4.02839930363331E-2</v>
      </c>
      <c r="AU26">
        <f>_xlfn.HYPGEOM.DIST($A4,$C$3,'Benchmarks by Card Role'!E$42,99,FALSE)</f>
        <v>5.3072562254216589E-2</v>
      </c>
      <c r="AV26">
        <f>_xlfn.HYPGEOM.DIST($A4,$C$3,'Benchmarks by Card Role'!F$42,99,FALSE)</f>
        <v>6.7235184204077772E-2</v>
      </c>
      <c r="AW26">
        <f>_xlfn.HYPGEOM.DIST($A4,$C$3,'Benchmarks by Card Role'!G$42,99,FALSE)</f>
        <v>8.2515907886822754E-2</v>
      </c>
      <c r="AX26">
        <f>_xlfn.HYPGEOM.DIST($A4,$C$3,'Benchmarks by Card Role'!H$42,99,FALSE)</f>
        <v>9.8639705979650161E-2</v>
      </c>
      <c r="AY26">
        <f>_xlfn.HYPGEOM.DIST($A4,$C$3,'Benchmarks by Card Role'!I$42,99,FALSE)</f>
        <v>0.11532295434830135</v>
      </c>
      <c r="AZ26">
        <f>_xlfn.HYPGEOM.DIST($A4,$C$3,'Benchmarks by Card Role'!J$42,99,FALSE)</f>
        <v>0.13228221234069862</v>
      </c>
      <c r="BA26">
        <f>_xlfn.HYPGEOM.DIST($A4,$C$3,'Benchmarks by Card Role'!K$42,99,FALSE)</f>
        <v>0.14924147033309598</v>
      </c>
      <c r="BB26">
        <f>_xlfn.HYPGEOM.DIST($A4,$C$3,'Benchmarks by Card Role'!L$42,99,FALSE)</f>
        <v>0.1659380203703614</v>
      </c>
    </row>
    <row r="27" spans="6:54" x14ac:dyDescent="0.25">
      <c r="F27">
        <f>_xlfn.HYPGEOM.DIST($A5,$C$3,'Benchmarks by Card Role'!D$2,99,FALSE)</f>
        <v>0.1998896006369609</v>
      </c>
      <c r="G27">
        <f>_xlfn.HYPGEOM.DIST($A5,$C$3,'Benchmarks by Card Role'!E$2,99,FALSE)</f>
        <v>0.210872545726904</v>
      </c>
      <c r="H27">
        <f>_xlfn.HYPGEOM.DIST($A5,$C$3,'Benchmarks by Card Role'!F$2,99,FALSE)</f>
        <v>0.22105962523061912</v>
      </c>
      <c r="I27">
        <f>_xlfn.HYPGEOM.DIST($A5,$C$3,'Benchmarks by Card Role'!G$2,99,FALSE)</f>
        <v>0.23034784477812403</v>
      </c>
      <c r="J27">
        <f>_xlfn.HYPGEOM.DIST($A5,$C$3,'Benchmarks by Card Role'!H$2,99,FALSE)</f>
        <v>0.23864653192916313</v>
      </c>
      <c r="K27">
        <f>_xlfn.HYPGEOM.DIST($A5,$C$3,'Benchmarks by Card Role'!I$2,99,FALSE)</f>
        <v>0.24587824501792555</v>
      </c>
      <c r="L27">
        <f>_xlfn.HYPGEOM.DIST($A5,$C$3,'Benchmarks by Card Role'!J$2,99,FALSE)</f>
        <v>0.25197944216477197</v>
      </c>
      <c r="M27">
        <f>_xlfn.HYPGEOM.DIST($A5,$C$3,'Benchmarks by Card Role'!K$2,99,FALSE)</f>
        <v>0.25690091564455309</v>
      </c>
      <c r="N27">
        <f>_xlfn.HYPGEOM.DIST($A5,$C$3,'Benchmarks by Card Role'!L$2,99,FALSE)</f>
        <v>0.26060799956438785</v>
      </c>
      <c r="P27">
        <f>_xlfn.HYPGEOM.DIST($A5,$C$3,'Benchmarks by Card Role'!D$12,99,FALSE)</f>
        <v>1.6019607353899765E-3</v>
      </c>
      <c r="Q27">
        <f>_xlfn.HYPGEOM.DIST($A5,$C$3,'Benchmarks by Card Role'!E$12,99,FALSE)</f>
        <v>2.9949700705116946E-3</v>
      </c>
      <c r="R27">
        <f>_xlfn.HYPGEOM.DIST($A5,$C$3,'Benchmarks by Card Role'!F$12,99,FALSE)</f>
        <v>5.0354991295416349E-3</v>
      </c>
      <c r="S27">
        <f>_xlfn.HYPGEOM.DIST($A5,$C$3,'Benchmarks by Card Role'!G$12,99,FALSE)</f>
        <v>7.8329986459536663E-3</v>
      </c>
      <c r="T27">
        <f>_xlfn.HYPGEOM.DIST($A5,$C$3,'Benchmarks by Card Role'!H$12,99,FALSE)</f>
        <v>1.1479177790940112E-2</v>
      </c>
      <c r="U27">
        <f>_xlfn.HYPGEOM.DIST($A5,$C$3,'Benchmarks by Card Role'!I$12,99,FALSE)</f>
        <v>1.6044759866882204E-2</v>
      </c>
      <c r="V27">
        <f>_xlfn.HYPGEOM.DIST($A5,$C$3,'Benchmarks by Card Role'!J$12,99,FALSE)</f>
        <v>2.1577435683048492E-2</v>
      </c>
      <c r="W27">
        <f>_xlfn.HYPGEOM.DIST($A5,$C$3,'Benchmarks by Card Role'!K$12,99,FALSE)</f>
        <v>2.8100846470946843E-2</v>
      </c>
      <c r="X27">
        <f>_xlfn.HYPGEOM.DIST($A5,$C$3,'Benchmarks by Card Role'!L$12,99,FALSE)</f>
        <v>3.5614441784034272E-2</v>
      </c>
      <c r="Z27">
        <f>_xlfn.HYPGEOM.DIST($A5,$C$3,'Benchmarks by Card Role'!D$22,99,FALSE)</f>
        <v>1.6019607353899765E-3</v>
      </c>
      <c r="AA27">
        <f>_xlfn.HYPGEOM.DIST($A5,$C$3,'Benchmarks by Card Role'!E$22,99,FALSE)</f>
        <v>2.9949700705116946E-3</v>
      </c>
      <c r="AB27">
        <f>_xlfn.HYPGEOM.DIST($A5,$C$3,'Benchmarks by Card Role'!F$22,99,FALSE)</f>
        <v>5.0354991295416349E-3</v>
      </c>
      <c r="AC27">
        <f>_xlfn.HYPGEOM.DIST($A5,$C$3,'Benchmarks by Card Role'!G$22,99,FALSE)</f>
        <v>7.8329986459536663E-3</v>
      </c>
      <c r="AD27">
        <f>_xlfn.HYPGEOM.DIST($A5,$C$3,'Benchmarks by Card Role'!H$22,99,FALSE)</f>
        <v>1.1479177790940112E-2</v>
      </c>
      <c r="AE27">
        <f>_xlfn.HYPGEOM.DIST($A5,$C$3,'Benchmarks by Card Role'!I$22,99,FALSE)</f>
        <v>1.6044759866882204E-2</v>
      </c>
      <c r="AF27">
        <f>_xlfn.HYPGEOM.DIST($A5,$C$3,'Benchmarks by Card Role'!J$22,99,FALSE)</f>
        <v>2.1577435683048492E-2</v>
      </c>
      <c r="AG27">
        <f>_xlfn.HYPGEOM.DIST($A5,$C$3,'Benchmarks by Card Role'!K$22,99,FALSE)</f>
        <v>2.8100846470946843E-2</v>
      </c>
      <c r="AH27">
        <f>_xlfn.HYPGEOM.DIST($A5,$C$3,'Benchmarks by Card Role'!L$22,99,FALSE)</f>
        <v>3.5614441784034272E-2</v>
      </c>
      <c r="AJ27">
        <f>_xlfn.HYPGEOM.DIST($A5,$C$3,'Benchmarks by Card Role'!D$32,99,FALSE)</f>
        <v>0</v>
      </c>
      <c r="AK27">
        <f>_xlfn.HYPGEOM.DIST($A5,$C$3,'Benchmarks by Card Role'!E$32,99,FALSE)</f>
        <v>0</v>
      </c>
      <c r="AL27">
        <f>_xlfn.HYPGEOM.DIST($A5,$C$3,'Benchmarks by Card Role'!F$32,99,FALSE)</f>
        <v>0</v>
      </c>
      <c r="AM27">
        <f>_xlfn.HYPGEOM.DIST($A5,$C$3,'Benchmarks by Card Role'!G$32,99,FALSE)</f>
        <v>0</v>
      </c>
      <c r="AN27">
        <f>_xlfn.HYPGEOM.DIST($A5,$C$3,'Benchmarks by Card Role'!H$32,99,FALSE)</f>
        <v>5.5786138260365102E-5</v>
      </c>
      <c r="AO27">
        <f>_xlfn.HYPGEOM.DIST($A5,$C$3,'Benchmarks by Card Role'!I$32,99,FALSE)</f>
        <v>2.6131401606171024E-4</v>
      </c>
      <c r="AP27">
        <f>_xlfn.HYPGEOM.DIST($A5,$C$3,'Benchmarks by Card Role'!J$32,99,FALSE)</f>
        <v>7.3390319404565449E-4</v>
      </c>
      <c r="AQ27">
        <f>_xlfn.HYPGEOM.DIST($A5,$C$3,'Benchmarks by Card Role'!K$32,99,FALSE)</f>
        <v>1.6019607353899765E-3</v>
      </c>
      <c r="AR27">
        <f>_xlfn.HYPGEOM.DIST($A5,$C$3,'Benchmarks by Card Role'!L$32,99,FALSE)</f>
        <v>2.9949700705116946E-3</v>
      </c>
      <c r="AT27">
        <f>_xlfn.HYPGEOM.DIST($A5,$C$3,'Benchmarks by Card Role'!D$42,99,FALSE)</f>
        <v>5.0354991295416349E-3</v>
      </c>
      <c r="AU27">
        <f>_xlfn.HYPGEOM.DIST($A5,$C$3,'Benchmarks by Card Role'!E$42,99,FALSE)</f>
        <v>7.8329986459536663E-3</v>
      </c>
      <c r="AV27">
        <f>_xlfn.HYPGEOM.DIST($A5,$C$3,'Benchmarks by Card Role'!F$42,99,FALSE)</f>
        <v>1.1479177790940112E-2</v>
      </c>
      <c r="AW27">
        <f>_xlfn.HYPGEOM.DIST($A5,$C$3,'Benchmarks by Card Role'!G$42,99,FALSE)</f>
        <v>1.6044759866882204E-2</v>
      </c>
      <c r="AX27">
        <f>_xlfn.HYPGEOM.DIST($A5,$C$3,'Benchmarks by Card Role'!H$42,99,FALSE)</f>
        <v>2.1577435683048492E-2</v>
      </c>
      <c r="AY27">
        <f>_xlfn.HYPGEOM.DIST($A5,$C$3,'Benchmarks by Card Role'!I$42,99,FALSE)</f>
        <v>2.8100846470946843E-2</v>
      </c>
      <c r="AZ27">
        <f>_xlfn.HYPGEOM.DIST($A5,$C$3,'Benchmarks by Card Role'!J$42,99,FALSE)</f>
        <v>3.5614441784034272E-2</v>
      </c>
      <c r="BA27">
        <f>_xlfn.HYPGEOM.DIST($A5,$C$3,'Benchmarks by Card Role'!K$42,99,FALSE)</f>
        <v>4.4094070780232884E-2</v>
      </c>
      <c r="BB27">
        <f>_xlfn.HYPGEOM.DIST($A5,$C$3,'Benchmarks by Card Role'!L$42,99,FALSE)</f>
        <v>5.3493177619392845E-2</v>
      </c>
    </row>
    <row r="28" spans="6:54" x14ac:dyDescent="0.25">
      <c r="F28">
        <f>_xlfn.HYPGEOM.DIST($A6,$C$3,'Benchmarks by Card Role'!D$2,99,FALSE)</f>
        <v>9.2256738755520387E-2</v>
      </c>
      <c r="G28">
        <f>_xlfn.HYPGEOM.DIST($A6,$C$3,'Benchmarks by Card Role'!E$2,99,FALSE)</f>
        <v>0.10280036604186571</v>
      </c>
      <c r="H28">
        <f>_xlfn.HYPGEOM.DIST($A6,$C$3,'Benchmarks by Card Role'!F$2,99,FALSE)</f>
        <v>0.1136878072614612</v>
      </c>
      <c r="I28">
        <f>_xlfn.HYPGEOM.DIST($A6,$C$3,'Benchmarks by Card Role'!G$2,99,FALSE)</f>
        <v>0.1248336707184671</v>
      </c>
      <c r="J28">
        <f>_xlfn.HYPGEOM.DIST($A6,$C$3,'Benchmarks by Card Role'!H$2,99,FALSE)</f>
        <v>0.13614589034647323</v>
      </c>
      <c r="K28">
        <f>_xlfn.HYPGEOM.DIST($A6,$C$3,'Benchmarks by Card Role'!I$2,99,FALSE)</f>
        <v>0.14752694701075544</v>
      </c>
      <c r="L28">
        <f>_xlfn.HYPGEOM.DIST($A6,$C$3,'Benchmarks by Card Role'!J$2,99,FALSE)</f>
        <v>0.1588751737038904</v>
      </c>
      <c r="M28">
        <f>_xlfn.HYPGEOM.DIST($A6,$C$3,'Benchmarks by Card Role'!K$2,99,FALSE)</f>
        <v>0.17008612346122123</v>
      </c>
      <c r="N28">
        <f>_xlfn.HYPGEOM.DIST($A6,$C$3,'Benchmarks by Card Role'!L$2,99,FALSE)</f>
        <v>0.18105397864473258</v>
      </c>
      <c r="P28">
        <f>_xlfn.HYPGEOM.DIST($A6,$C$3,'Benchmarks by Card Role'!D$12,99,FALSE)</f>
        <v>6.6288030429930033E-5</v>
      </c>
      <c r="Q28">
        <f>_xlfn.HYPGEOM.DIST($A6,$C$3,'Benchmarks by Card Role'!E$12,99,FALSE)</f>
        <v>1.6716112021460594E-4</v>
      </c>
      <c r="R28">
        <f>_xlfn.HYPGEOM.DIST($A6,$C$3,'Benchmarks by Card Role'!F$12,99,FALSE)</f>
        <v>3.5544699737940984E-4</v>
      </c>
      <c r="S28">
        <f>_xlfn.HYPGEOM.DIST($A6,$C$3,'Benchmarks by Card Role'!G$12,99,FALSE)</f>
        <v>6.7139988393888686E-4</v>
      </c>
      <c r="T28">
        <f>_xlfn.HYPGEOM.DIST($A6,$C$3,'Benchmarks by Card Role'!H$12,99,FALSE)</f>
        <v>1.1617481137818897E-3</v>
      </c>
      <c r="U28">
        <f>_xlfn.HYPGEOM.DIST($A6,$C$3,'Benchmarks by Card Role'!I$12,99,FALSE)</f>
        <v>1.8784109112447501E-3</v>
      </c>
      <c r="V28">
        <f>_xlfn.HYPGEOM.DIST($A6,$C$3,'Benchmarks by Card Role'!J$12,99,FALSE)</f>
        <v>2.876991424406465E-3</v>
      </c>
      <c r="W28">
        <f>_xlfn.HYPGEOM.DIST($A6,$C$3,'Benchmarks by Card Role'!K$12,99,FALSE)</f>
        <v>4.2151269706420264E-3</v>
      </c>
      <c r="X28">
        <f>_xlfn.HYPGEOM.DIST($A6,$C$3,'Benchmarks by Card Role'!L$12,99,FALSE)</f>
        <v>5.9507674879652151E-3</v>
      </c>
      <c r="Z28">
        <f>_xlfn.HYPGEOM.DIST($A6,$C$3,'Benchmarks by Card Role'!D$22,99,FALSE)</f>
        <v>6.6288030429930033E-5</v>
      </c>
      <c r="AA28">
        <f>_xlfn.HYPGEOM.DIST($A6,$C$3,'Benchmarks by Card Role'!E$22,99,FALSE)</f>
        <v>1.6716112021460594E-4</v>
      </c>
      <c r="AB28">
        <f>_xlfn.HYPGEOM.DIST($A6,$C$3,'Benchmarks by Card Role'!F$22,99,FALSE)</f>
        <v>3.5544699737940984E-4</v>
      </c>
      <c r="AC28">
        <f>_xlfn.HYPGEOM.DIST($A6,$C$3,'Benchmarks by Card Role'!G$22,99,FALSE)</f>
        <v>6.7139988393888686E-4</v>
      </c>
      <c r="AD28">
        <f>_xlfn.HYPGEOM.DIST($A6,$C$3,'Benchmarks by Card Role'!H$22,99,FALSE)</f>
        <v>1.1617481137818897E-3</v>
      </c>
      <c r="AE28">
        <f>_xlfn.HYPGEOM.DIST($A6,$C$3,'Benchmarks by Card Role'!I$22,99,FALSE)</f>
        <v>1.8784109112447501E-3</v>
      </c>
      <c r="AF28">
        <f>_xlfn.HYPGEOM.DIST($A6,$C$3,'Benchmarks by Card Role'!J$22,99,FALSE)</f>
        <v>2.876991424406465E-3</v>
      </c>
      <c r="AG28">
        <f>_xlfn.HYPGEOM.DIST($A6,$C$3,'Benchmarks by Card Role'!K$22,99,FALSE)</f>
        <v>4.2151269706420264E-3</v>
      </c>
      <c r="AH28">
        <f>_xlfn.HYPGEOM.DIST($A6,$C$3,'Benchmarks by Card Role'!L$22,99,FALSE)</f>
        <v>5.9507674879652151E-3</v>
      </c>
      <c r="AJ28">
        <f>_xlfn.HYPGEOM.DIST($A6,$C$3,'Benchmarks by Card Role'!D$32,99,FALSE)</f>
        <v>0</v>
      </c>
      <c r="AK28">
        <f>_xlfn.HYPGEOM.DIST($A6,$C$3,'Benchmarks by Card Role'!E$32,99,FALSE)</f>
        <v>0</v>
      </c>
      <c r="AL28">
        <f>_xlfn.HYPGEOM.DIST($A6,$C$3,'Benchmarks by Card Role'!F$32,99,FALSE)</f>
        <v>0</v>
      </c>
      <c r="AM28">
        <f>_xlfn.HYPGEOM.DIST($A6,$C$3,'Benchmarks by Card Role'!G$32,99,FALSE)</f>
        <v>0</v>
      </c>
      <c r="AN28">
        <f>_xlfn.HYPGEOM.DIST($A6,$C$3,'Benchmarks by Card Role'!H$32,99,FALSE)</f>
        <v>0</v>
      </c>
      <c r="AO28">
        <f>_xlfn.HYPGEOM.DIST($A6,$C$3,'Benchmarks by Card Role'!I$32,99,FALSE)</f>
        <v>3.5233350480230561E-6</v>
      </c>
      <c r="AP28">
        <f>_xlfn.HYPGEOM.DIST($A6,$C$3,'Benchmarks by Card Role'!J$32,99,FALSE)</f>
        <v>2.0015541655790564E-5</v>
      </c>
      <c r="AQ28">
        <f>_xlfn.HYPGEOM.DIST($A6,$C$3,'Benchmarks by Card Role'!K$32,99,FALSE)</f>
        <v>6.6288030429930033E-5</v>
      </c>
      <c r="AR28">
        <f>_xlfn.HYPGEOM.DIST($A6,$C$3,'Benchmarks by Card Role'!L$32,99,FALSE)</f>
        <v>1.6716112021460594E-4</v>
      </c>
      <c r="AT28">
        <f>_xlfn.HYPGEOM.DIST($A6,$C$3,'Benchmarks by Card Role'!D$42,99,FALSE)</f>
        <v>3.5544699737940984E-4</v>
      </c>
      <c r="AU28">
        <f>_xlfn.HYPGEOM.DIST($A6,$C$3,'Benchmarks by Card Role'!E$42,99,FALSE)</f>
        <v>6.7139988393888686E-4</v>
      </c>
      <c r="AV28">
        <f>_xlfn.HYPGEOM.DIST($A6,$C$3,'Benchmarks by Card Role'!F$42,99,FALSE)</f>
        <v>1.1617481137818897E-3</v>
      </c>
      <c r="AW28">
        <f>_xlfn.HYPGEOM.DIST($A6,$C$3,'Benchmarks by Card Role'!G$42,99,FALSE)</f>
        <v>1.8784109112447501E-3</v>
      </c>
      <c r="AX28">
        <f>_xlfn.HYPGEOM.DIST($A6,$C$3,'Benchmarks by Card Role'!H$42,99,FALSE)</f>
        <v>2.876991424406465E-3</v>
      </c>
      <c r="AY28">
        <f>_xlfn.HYPGEOM.DIST($A6,$C$3,'Benchmarks by Card Role'!I$42,99,FALSE)</f>
        <v>4.2151269706420264E-3</v>
      </c>
      <c r="AZ28">
        <f>_xlfn.HYPGEOM.DIST($A6,$C$3,'Benchmarks by Card Role'!J$42,99,FALSE)</f>
        <v>5.9507674879652151E-3</v>
      </c>
      <c r="BA28">
        <f>_xlfn.HYPGEOM.DIST($A6,$C$3,'Benchmarks by Card Role'!K$42,99,FALSE)</f>
        <v>8.1404438363506925E-3</v>
      </c>
      <c r="BB28">
        <f>_xlfn.HYPGEOM.DIST($A6,$C$3,'Benchmarks by Card Role'!L$42,99,FALSE)</f>
        <v>1.0837578842370498E-2</v>
      </c>
    </row>
    <row r="29" spans="6:54" x14ac:dyDescent="0.25">
      <c r="F29">
        <f>_xlfn.HYPGEOM.DIST($A7,$C$3,'Benchmarks by Card Role'!D$2,99,FALSE)</f>
        <v>2.7956587501672906E-2</v>
      </c>
      <c r="G29">
        <f>_xlfn.HYPGEOM.DIST($A7,$C$3,'Benchmarks by Card Role'!E$2,99,FALSE)</f>
        <v>3.2948835269828725E-2</v>
      </c>
      <c r="H29">
        <f>_xlfn.HYPGEOM.DIST($A7,$C$3,'Benchmarks by Card Role'!F$2,99,FALSE)</f>
        <v>3.8488059749973901E-2</v>
      </c>
      <c r="I29">
        <f>_xlfn.HYPGEOM.DIST($A7,$C$3,'Benchmarks by Card Role'!G$2,99,FALSE)</f>
        <v>4.4583453828023999E-2</v>
      </c>
      <c r="J29">
        <f>_xlfn.HYPGEOM.DIST($A7,$C$3,'Benchmarks by Card Role'!H$2,99,FALSE)</f>
        <v>5.123770066802761E-2</v>
      </c>
      <c r="K29">
        <f>_xlfn.HYPGEOM.DIST($A7,$C$3,'Benchmarks by Card Role'!I$2,99,FALSE)</f>
        <v>5.8446468078031506E-2</v>
      </c>
      <c r="L29">
        <f>_xlfn.HYPGEOM.DIST($A7,$C$3,'Benchmarks by Card Role'!J$2,99,FALSE)</f>
        <v>6.6197989043287622E-2</v>
      </c>
      <c r="M29">
        <f>_xlfn.HYPGEOM.DIST($A7,$C$3,'Benchmarks by Card Role'!K$2,99,FALSE)</f>
        <v>7.447273767369865E-2</v>
      </c>
      <c r="N29">
        <f>_xlfn.HYPGEOM.DIST($A7,$C$3,'Benchmarks by Card Role'!L$2,99,FALSE)</f>
        <v>8.3243208572290894E-2</v>
      </c>
      <c r="P29">
        <f>_xlfn.HYPGEOM.DIST($A7,$C$3,'Benchmarks by Card Role'!D$12,99,FALSE)</f>
        <v>1.2554551217789773E-6</v>
      </c>
      <c r="Q29">
        <f>_xlfn.HYPGEOM.DIST($A7,$C$3,'Benchmarks by Card Role'!E$12,99,FALSE)</f>
        <v>4.8034804659369595E-6</v>
      </c>
      <c r="R29">
        <f>_xlfn.HYPGEOM.DIST($A7,$C$3,'Benchmarks by Card Role'!F$12,99,FALSE)</f>
        <v>1.377701540230272E-5</v>
      </c>
      <c r="S29">
        <f>_xlfn.HYPGEOM.DIST($A7,$C$3,'Benchmarks by Card Role'!G$12,99,FALSE)</f>
        <v>3.2911759016612003E-5</v>
      </c>
      <c r="T29">
        <f>_xlfn.HYPGEOM.DIST($A7,$C$3,'Benchmarks by Card Role'!H$12,99,FALSE)</f>
        <v>6.9151673439398487E-5</v>
      </c>
      <c r="U29">
        <f>_xlfn.HYPGEOM.DIST($A7,$C$3,'Benchmarks by Card Role'!I$12,99,FALSE)</f>
        <v>1.3201683111157839E-4</v>
      </c>
      <c r="V29">
        <f>_xlfn.HYPGEOM.DIST($A7,$C$3,'Benchmarks by Card Role'!J$12,99,FALSE)</f>
        <v>2.3390174182166384E-4</v>
      </c>
      <c r="W29">
        <f>_xlfn.HYPGEOM.DIST($A7,$C$3,'Benchmarks by Card Role'!K$12,99,FALSE)</f>
        <v>3.90289534318707E-4</v>
      </c>
      <c r="X29">
        <f>_xlfn.HYPGEOM.DIST($A7,$C$3,'Benchmarks by Card Role'!L$12,99,FALSE)</f>
        <v>6.1987161332971148E-4</v>
      </c>
      <c r="Z29">
        <f>_xlfn.HYPGEOM.DIST($A7,$C$3,'Benchmarks by Card Role'!D$22,99,FALSE)</f>
        <v>1.2554551217789773E-6</v>
      </c>
      <c r="AA29">
        <f>_xlfn.HYPGEOM.DIST($A7,$C$3,'Benchmarks by Card Role'!E$22,99,FALSE)</f>
        <v>4.8034804659369595E-6</v>
      </c>
      <c r="AB29">
        <f>_xlfn.HYPGEOM.DIST($A7,$C$3,'Benchmarks by Card Role'!F$22,99,FALSE)</f>
        <v>1.377701540230272E-5</v>
      </c>
      <c r="AC29">
        <f>_xlfn.HYPGEOM.DIST($A7,$C$3,'Benchmarks by Card Role'!G$22,99,FALSE)</f>
        <v>3.2911759016612003E-5</v>
      </c>
      <c r="AD29">
        <f>_xlfn.HYPGEOM.DIST($A7,$C$3,'Benchmarks by Card Role'!H$22,99,FALSE)</f>
        <v>6.9151673439398487E-5</v>
      </c>
      <c r="AE29">
        <f>_xlfn.HYPGEOM.DIST($A7,$C$3,'Benchmarks by Card Role'!I$22,99,FALSE)</f>
        <v>1.3201683111157839E-4</v>
      </c>
      <c r="AF29">
        <f>_xlfn.HYPGEOM.DIST($A7,$C$3,'Benchmarks by Card Role'!J$22,99,FALSE)</f>
        <v>2.3390174182166384E-4</v>
      </c>
      <c r="AG29">
        <f>_xlfn.HYPGEOM.DIST($A7,$C$3,'Benchmarks by Card Role'!K$22,99,FALSE)</f>
        <v>3.90289534318707E-4</v>
      </c>
      <c r="AH29">
        <f>_xlfn.HYPGEOM.DIST($A7,$C$3,'Benchmarks by Card Role'!L$22,99,FALSE)</f>
        <v>6.1987161332971148E-4</v>
      </c>
      <c r="AJ29">
        <f>_xlfn.HYPGEOM.DIST($A7,$C$3,'Benchmarks by Card Role'!D$32,99,FALSE)</f>
        <v>0</v>
      </c>
      <c r="AK29">
        <f>_xlfn.HYPGEOM.DIST($A7,$C$3,'Benchmarks by Card Role'!E$32,99,FALSE)</f>
        <v>0</v>
      </c>
      <c r="AL29">
        <f>_xlfn.HYPGEOM.DIST($A7,$C$3,'Benchmarks by Card Role'!F$32,99,FALSE)</f>
        <v>0</v>
      </c>
      <c r="AM29">
        <f>_xlfn.HYPGEOM.DIST($A7,$C$3,'Benchmarks by Card Role'!G$32,99,FALSE)</f>
        <v>0</v>
      </c>
      <c r="AN29">
        <f>_xlfn.HYPGEOM.DIST($A7,$C$3,'Benchmarks by Card Role'!H$32,99,FALSE)</f>
        <v>0</v>
      </c>
      <c r="AO29">
        <f>_xlfn.HYPGEOM.DIST($A7,$C$3,'Benchmarks by Card Role'!I$32,99,FALSE)</f>
        <v>0</v>
      </c>
      <c r="AP29">
        <f>_xlfn.HYPGEOM.DIST($A7,$C$3,'Benchmarks by Card Role'!J$32,99,FALSE)</f>
        <v>1.8741143872463079E-7</v>
      </c>
      <c r="AQ29">
        <f>_xlfn.HYPGEOM.DIST($A7,$C$3,'Benchmarks by Card Role'!K$32,99,FALSE)</f>
        <v>1.2554551217789773E-6</v>
      </c>
      <c r="AR29">
        <f>_xlfn.HYPGEOM.DIST($A7,$C$3,'Benchmarks by Card Role'!L$32,99,FALSE)</f>
        <v>4.8034804659369595E-6</v>
      </c>
      <c r="AT29">
        <f>_xlfn.HYPGEOM.DIST($A7,$C$3,'Benchmarks by Card Role'!D$42,99,FALSE)</f>
        <v>1.377701540230272E-5</v>
      </c>
      <c r="AU29">
        <f>_xlfn.HYPGEOM.DIST($A7,$C$3,'Benchmarks by Card Role'!E$42,99,FALSE)</f>
        <v>3.2911759016612003E-5</v>
      </c>
      <c r="AV29">
        <f>_xlfn.HYPGEOM.DIST($A7,$C$3,'Benchmarks by Card Role'!F$42,99,FALSE)</f>
        <v>6.9151673439398487E-5</v>
      </c>
      <c r="AW29">
        <f>_xlfn.HYPGEOM.DIST($A7,$C$3,'Benchmarks by Card Role'!G$42,99,FALSE)</f>
        <v>1.3201683111157839E-4</v>
      </c>
      <c r="AX29">
        <f>_xlfn.HYPGEOM.DIST($A7,$C$3,'Benchmarks by Card Role'!H$42,99,FALSE)</f>
        <v>2.3390174182166384E-4</v>
      </c>
      <c r="AY29">
        <f>_xlfn.HYPGEOM.DIST($A7,$C$3,'Benchmarks by Card Role'!I$42,99,FALSE)</f>
        <v>3.90289534318707E-4</v>
      </c>
      <c r="AZ29">
        <f>_xlfn.HYPGEOM.DIST($A7,$C$3,'Benchmarks by Card Role'!J$42,99,FALSE)</f>
        <v>6.1987161332971148E-4</v>
      </c>
      <c r="BA29">
        <f>_xlfn.HYPGEOM.DIST($A7,$C$3,'Benchmarks by Card Role'!K$42,99,FALSE)</f>
        <v>9.4456626793098771E-4</v>
      </c>
      <c r="BB29">
        <f>_xlfn.HYPGEOM.DIST($A7,$C$3,'Benchmarks by Card Role'!L$42,99,FALSE)</f>
        <v>1.3894331849192939E-3</v>
      </c>
    </row>
    <row r="30" spans="6:54" x14ac:dyDescent="0.25">
      <c r="F30">
        <f>_xlfn.HYPGEOM.DIST($A8,$C$3,'Benchmarks by Card Role'!D$2,99,FALSE)</f>
        <v>5.4840214288995907E-3</v>
      </c>
      <c r="G30">
        <f>_xlfn.HYPGEOM.DIST($A8,$C$3,'Benchmarks by Card Role'!E$2,99,FALSE)</f>
        <v>6.8465112248994762E-3</v>
      </c>
      <c r="H30">
        <f>_xlfn.HYPGEOM.DIST($A8,$C$3,'Benchmarks by Card Role'!F$2,99,FALSE)</f>
        <v>8.4589142307634913E-3</v>
      </c>
      <c r="I30">
        <f>_xlfn.HYPGEOM.DIST($A8,$C$3,'Benchmarks by Card Role'!G$2,99,FALSE)</f>
        <v>1.0349730352934142E-2</v>
      </c>
      <c r="J30">
        <f>_xlfn.HYPGEOM.DIST($A8,$C$3,'Benchmarks by Card Role'!H$2,99,FALSE)</f>
        <v>1.2548008326863898E-2</v>
      </c>
      <c r="K30">
        <f>_xlfn.HYPGEOM.DIST($A8,$C$3,'Benchmarks by Card Role'!I$2,99,FALSE)</f>
        <v>1.5082959504008113E-2</v>
      </c>
      <c r="L30">
        <f>_xlfn.HYPGEOM.DIST($A8,$C$3,'Benchmarks by Card Role'!J$2,99,FALSE)</f>
        <v>1.7983528639394303E-2</v>
      </c>
      <c r="M30">
        <f>_xlfn.HYPGEOM.DIST($A8,$C$3,'Benchmarks by Card Role'!K$2,99,FALSE)</f>
        <v>2.1277925049628194E-2</v>
      </c>
      <c r="N30">
        <f>_xlfn.HYPGEOM.DIST($A8,$C$3,'Benchmarks by Card Role'!L$2,99,FALSE)</f>
        <v>2.4993118312261649E-2</v>
      </c>
      <c r="P30">
        <f>_xlfn.HYPGEOM.DIST($A8,$C$3,'Benchmarks by Card Role'!D$12,99,FALSE)</f>
        <v>8.0607070419195806E-9</v>
      </c>
      <c r="Q30">
        <f>_xlfn.HYPGEOM.DIST($A8,$C$3,'Benchmarks by Card Role'!E$12,99,FALSE)</f>
        <v>6.2382863193986231E-8</v>
      </c>
      <c r="R30">
        <f>_xlfn.HYPGEOM.DIST($A8,$C$3,'Benchmarks by Card Role'!F$12,99,FALSE)</f>
        <v>2.7146828378921607E-7</v>
      </c>
      <c r="S30">
        <f>_xlfn.HYPGEOM.DIST($A8,$C$3,'Benchmarks by Card Role'!G$12,99,FALSE)</f>
        <v>8.7473113665414104E-7</v>
      </c>
      <c r="T30">
        <f>_xlfn.HYPGEOM.DIST($A8,$C$3,'Benchmarks by Card Role'!H$12,99,FALSE)</f>
        <v>2.3244259979629688E-6</v>
      </c>
      <c r="U30">
        <f>_xlfn.HYPGEOM.DIST($A8,$C$3,'Benchmarks by Card Role'!I$12,99,FALSE)</f>
        <v>5.3884420861868795E-6</v>
      </c>
      <c r="V30">
        <f>_xlfn.HYPGEOM.DIST($A8,$C$3,'Benchmarks by Card Role'!J$12,99,FALSE)</f>
        <v>1.1272373099839226E-5</v>
      </c>
      <c r="W30">
        <f>_xlfn.HYPGEOM.DIST($A8,$C$3,'Benchmarks by Card Role'!K$12,99,FALSE)</f>
        <v>2.1758301564805917E-5</v>
      </c>
      <c r="X30">
        <f>_xlfn.HYPGEOM.DIST($A8,$C$3,'Benchmarks by Card Role'!L$12,99,FALSE)</f>
        <v>3.9356927830457749E-5</v>
      </c>
      <c r="Z30">
        <f>_xlfn.HYPGEOM.DIST($A8,$C$3,'Benchmarks by Card Role'!D$22,99,FALSE)</f>
        <v>8.0607070419195806E-9</v>
      </c>
      <c r="AA30">
        <f>_xlfn.HYPGEOM.DIST($A8,$C$3,'Benchmarks by Card Role'!E$22,99,FALSE)</f>
        <v>6.2382863193986231E-8</v>
      </c>
      <c r="AB30">
        <f>_xlfn.HYPGEOM.DIST($A8,$C$3,'Benchmarks by Card Role'!F$22,99,FALSE)</f>
        <v>2.7146828378921607E-7</v>
      </c>
      <c r="AC30">
        <f>_xlfn.HYPGEOM.DIST($A8,$C$3,'Benchmarks by Card Role'!G$22,99,FALSE)</f>
        <v>8.7473113665414104E-7</v>
      </c>
      <c r="AD30">
        <f>_xlfn.HYPGEOM.DIST($A8,$C$3,'Benchmarks by Card Role'!H$22,99,FALSE)</f>
        <v>2.3244259979629688E-6</v>
      </c>
      <c r="AE30">
        <f>_xlfn.HYPGEOM.DIST($A8,$C$3,'Benchmarks by Card Role'!I$22,99,FALSE)</f>
        <v>5.3884420861868795E-6</v>
      </c>
      <c r="AF30">
        <f>_xlfn.HYPGEOM.DIST($A8,$C$3,'Benchmarks by Card Role'!J$22,99,FALSE)</f>
        <v>1.1272373099839226E-5</v>
      </c>
      <c r="AG30">
        <f>_xlfn.HYPGEOM.DIST($A8,$C$3,'Benchmarks by Card Role'!K$22,99,FALSE)</f>
        <v>2.1758301564805917E-5</v>
      </c>
      <c r="AH30">
        <f>_xlfn.HYPGEOM.DIST($A8,$C$3,'Benchmarks by Card Role'!L$22,99,FALSE)</f>
        <v>3.9356927830457749E-5</v>
      </c>
      <c r="AJ30">
        <f>_xlfn.HYPGEOM.DIST($A8,$C$3,'Benchmarks by Card Role'!D$32,99,FALSE)</f>
        <v>0</v>
      </c>
      <c r="AK30">
        <f>_xlfn.HYPGEOM.DIST($A8,$C$3,'Benchmarks by Card Role'!E$32,99,FALSE)</f>
        <v>0</v>
      </c>
      <c r="AL30">
        <f>_xlfn.HYPGEOM.DIST($A8,$C$3,'Benchmarks by Card Role'!F$32,99,FALSE)</f>
        <v>0</v>
      </c>
      <c r="AM30">
        <f>_xlfn.HYPGEOM.DIST($A8,$C$3,'Benchmarks by Card Role'!G$32,99,FALSE)</f>
        <v>0</v>
      </c>
      <c r="AN30">
        <f>_xlfn.HYPGEOM.DIST($A8,$C$3,'Benchmarks by Card Role'!H$32,99,FALSE)</f>
        <v>0</v>
      </c>
      <c r="AO30">
        <f>_xlfn.HYPGEOM.DIST($A8,$C$3,'Benchmarks by Card Role'!I$32,99,FALSE)</f>
        <v>0</v>
      </c>
      <c r="AP30">
        <f>_xlfn.HYPGEOM.DIST($A8,$C$3,'Benchmarks by Card Role'!J$32,99,FALSE)</f>
        <v>0</v>
      </c>
      <c r="AQ30">
        <f>_xlfn.HYPGEOM.DIST($A8,$C$3,'Benchmarks by Card Role'!K$32,99,FALSE)</f>
        <v>8.0607070419195806E-9</v>
      </c>
      <c r="AR30">
        <f>_xlfn.HYPGEOM.DIST($A8,$C$3,'Benchmarks by Card Role'!L$32,99,FALSE)</f>
        <v>6.2382863193986231E-8</v>
      </c>
      <c r="AT30">
        <f>_xlfn.HYPGEOM.DIST($A8,$C$3,'Benchmarks by Card Role'!D$42,99,FALSE)</f>
        <v>2.7146828378921607E-7</v>
      </c>
      <c r="AU30">
        <f>_xlfn.HYPGEOM.DIST($A8,$C$3,'Benchmarks by Card Role'!E$42,99,FALSE)</f>
        <v>8.7473113665414104E-7</v>
      </c>
      <c r="AV30">
        <f>_xlfn.HYPGEOM.DIST($A8,$C$3,'Benchmarks by Card Role'!F$42,99,FALSE)</f>
        <v>2.3244259979629688E-6</v>
      </c>
      <c r="AW30">
        <f>_xlfn.HYPGEOM.DIST($A8,$C$3,'Benchmarks by Card Role'!G$42,99,FALSE)</f>
        <v>5.3884420861868795E-6</v>
      </c>
      <c r="AX30">
        <f>_xlfn.HYPGEOM.DIST($A8,$C$3,'Benchmarks by Card Role'!H$42,99,FALSE)</f>
        <v>1.1272373099839226E-5</v>
      </c>
      <c r="AY30">
        <f>_xlfn.HYPGEOM.DIST($A8,$C$3,'Benchmarks by Card Role'!I$42,99,FALSE)</f>
        <v>2.1758301564805917E-5</v>
      </c>
      <c r="AZ30">
        <f>_xlfn.HYPGEOM.DIST($A8,$C$3,'Benchmarks by Card Role'!J$42,99,FALSE)</f>
        <v>3.9356927830457749E-5</v>
      </c>
      <c r="BA30">
        <f>_xlfn.HYPGEOM.DIST($A8,$C$3,'Benchmarks by Card Role'!K$42,99,FALSE)</f>
        <v>6.746901913792768E-5</v>
      </c>
      <c r="BB30">
        <f>_xlfn.HYPGEOM.DIST($A8,$C$3,'Benchmarks by Card Role'!L$42,99,FALSE)</f>
        <v>1.1055164581636319E-4</v>
      </c>
    </row>
    <row r="31" spans="6:54" x14ac:dyDescent="0.25">
      <c r="F31">
        <f>_xlfn.HYPGEOM.DIST($A9,$C$3,'Benchmarks by Card Role'!D$2,99,FALSE)</f>
        <v>6.6534083512384491E-4</v>
      </c>
      <c r="G31">
        <f>_xlfn.HYPGEOM.DIST($A9,$C$3,'Benchmarks by Card Role'!E$2,99,FALSE)</f>
        <v>8.8136058678743297E-4</v>
      </c>
      <c r="H31">
        <f>_xlfn.HYPGEOM.DIST($A9,$C$3,'Benchmarks by Card Role'!F$2,99,FALSE)</f>
        <v>1.1534883041950219E-3</v>
      </c>
      <c r="I31">
        <f>_xlfn.HYPGEOM.DIST($A9,$C$3,'Benchmarks by Card Role'!G$2,99,FALSE)</f>
        <v>1.4927495701347303E-3</v>
      </c>
      <c r="J31">
        <f>_xlfn.HYPGEOM.DIST($A9,$C$3,'Benchmarks by Card Role'!H$2,99,FALSE)</f>
        <v>1.9116106435456751E-3</v>
      </c>
      <c r="K31">
        <f>_xlfn.HYPGEOM.DIST($A9,$C$3,'Benchmarks by Card Role'!I$2,99,FALSE)</f>
        <v>2.4240470631441639E-3</v>
      </c>
      <c r="L31">
        <f>_xlfn.HYPGEOM.DIST($A9,$C$3,'Benchmarks by Card Role'!J$2,99,FALSE)</f>
        <v>3.045597592155491E-3</v>
      </c>
      <c r="M31">
        <f>_xlfn.HYPGEOM.DIST($A9,$C$3,'Benchmarks by Card Role'!K$2,99,FALSE)</f>
        <v>3.7934005723722322E-3</v>
      </c>
      <c r="N31">
        <f>_xlfn.HYPGEOM.DIST($A9,$C$3,'Benchmarks by Card Role'!L$2,99,FALSE)</f>
        <v>4.6862096835490604E-3</v>
      </c>
      <c r="P31">
        <f>_xlfn.HYPGEOM.DIST($A9,$C$3,'Benchmarks by Card Role'!D$12,99,FALSE)</f>
        <v>0</v>
      </c>
      <c r="Q31">
        <f>_xlfn.HYPGEOM.DIST($A9,$C$3,'Benchmarks by Card Role'!E$12,99,FALSE)</f>
        <v>2.6284914267129146E-10</v>
      </c>
      <c r="R31">
        <f>_xlfn.HYPGEOM.DIST($A9,$C$3,'Benchmarks by Card Role'!F$12,99,FALSE)</f>
        <v>2.3136501459308142E-9</v>
      </c>
      <c r="S31">
        <f>_xlfn.HYPGEOM.DIST($A9,$C$3,'Benchmarks by Card Role'!G$12,99,FALSE)</f>
        <v>1.1311178491217359E-8</v>
      </c>
      <c r="T31">
        <f>_xlfn.HYPGEOM.DIST($A9,$C$3,'Benchmarks by Card Role'!H$12,99,FALSE)</f>
        <v>4.0542313917958778E-8</v>
      </c>
      <c r="U31">
        <f>_xlfn.HYPGEOM.DIST($A9,$C$3,'Benchmarks by Card Role'!I$12,99,FALSE)</f>
        <v>1.1886269307765163E-7</v>
      </c>
      <c r="V31">
        <f>_xlfn.HYPGEOM.DIST($A9,$C$3,'Benchmarks by Card Role'!J$12,99,FALSE)</f>
        <v>3.0193856517426469E-7</v>
      </c>
      <c r="W31">
        <f>_xlfn.HYPGEOM.DIST($A9,$C$3,'Benchmarks by Card Role'!K$12,99,FALSE)</f>
        <v>6.8813905551344081E-7</v>
      </c>
      <c r="X31">
        <f>_xlfn.HYPGEOM.DIST($A9,$C$3,'Benchmarks by Card Role'!L$12,99,FALSE)</f>
        <v>1.439887603553334E-6</v>
      </c>
      <c r="Z31">
        <f>_xlfn.HYPGEOM.DIST($A9,$C$3,'Benchmarks by Card Role'!D$22,99,FALSE)</f>
        <v>0</v>
      </c>
      <c r="AA31">
        <f>_xlfn.HYPGEOM.DIST($A9,$C$3,'Benchmarks by Card Role'!E$22,99,FALSE)</f>
        <v>2.6284914267129146E-10</v>
      </c>
      <c r="AB31">
        <f>_xlfn.HYPGEOM.DIST($A9,$C$3,'Benchmarks by Card Role'!F$22,99,FALSE)</f>
        <v>2.3136501459308142E-9</v>
      </c>
      <c r="AC31">
        <f>_xlfn.HYPGEOM.DIST($A9,$C$3,'Benchmarks by Card Role'!G$22,99,FALSE)</f>
        <v>1.1311178491217359E-8</v>
      </c>
      <c r="AD31">
        <f>_xlfn.HYPGEOM.DIST($A9,$C$3,'Benchmarks by Card Role'!H$22,99,FALSE)</f>
        <v>4.0542313917958778E-8</v>
      </c>
      <c r="AE31">
        <f>_xlfn.HYPGEOM.DIST($A9,$C$3,'Benchmarks by Card Role'!I$22,99,FALSE)</f>
        <v>1.1886269307765163E-7</v>
      </c>
      <c r="AF31">
        <f>_xlfn.HYPGEOM.DIST($A9,$C$3,'Benchmarks by Card Role'!J$22,99,FALSE)</f>
        <v>3.0193856517426469E-7</v>
      </c>
      <c r="AG31">
        <f>_xlfn.HYPGEOM.DIST($A9,$C$3,'Benchmarks by Card Role'!K$22,99,FALSE)</f>
        <v>6.8813905551344081E-7</v>
      </c>
      <c r="AH31">
        <f>_xlfn.HYPGEOM.DIST($A9,$C$3,'Benchmarks by Card Role'!L$22,99,FALSE)</f>
        <v>1.439887603553334E-6</v>
      </c>
      <c r="AJ31">
        <f>_xlfn.HYPGEOM.DIST($A9,$C$3,'Benchmarks by Card Role'!D$32,99,FALSE)</f>
        <v>0</v>
      </c>
      <c r="AK31">
        <f>_xlfn.HYPGEOM.DIST($A9,$C$3,'Benchmarks by Card Role'!E$32,99,FALSE)</f>
        <v>0</v>
      </c>
      <c r="AL31">
        <f>_xlfn.HYPGEOM.DIST($A9,$C$3,'Benchmarks by Card Role'!F$32,99,FALSE)</f>
        <v>0</v>
      </c>
      <c r="AM31">
        <f>_xlfn.HYPGEOM.DIST($A9,$C$3,'Benchmarks by Card Role'!G$32,99,FALSE)</f>
        <v>0</v>
      </c>
      <c r="AN31">
        <f>_xlfn.HYPGEOM.DIST($A9,$C$3,'Benchmarks by Card Role'!H$32,99,FALSE)</f>
        <v>0</v>
      </c>
      <c r="AO31">
        <f>_xlfn.HYPGEOM.DIST($A9,$C$3,'Benchmarks by Card Role'!I$32,99,FALSE)</f>
        <v>0</v>
      </c>
      <c r="AP31">
        <f>_xlfn.HYPGEOM.DIST($A9,$C$3,'Benchmarks by Card Role'!J$32,99,FALSE)</f>
        <v>0</v>
      </c>
      <c r="AQ31">
        <f>_xlfn.HYPGEOM.DIST($A9,$C$3,'Benchmarks by Card Role'!K$32,99,FALSE)</f>
        <v>0</v>
      </c>
      <c r="AR31">
        <f>_xlfn.HYPGEOM.DIST($A9,$C$3,'Benchmarks by Card Role'!L$32,99,FALSE)</f>
        <v>2.6284914267129146E-10</v>
      </c>
      <c r="AT31">
        <f>_xlfn.HYPGEOM.DIST($A9,$C$3,'Benchmarks by Card Role'!D$42,99,FALSE)</f>
        <v>2.3136501459308142E-9</v>
      </c>
      <c r="AU31">
        <f>_xlfn.HYPGEOM.DIST($A9,$C$3,'Benchmarks by Card Role'!E$42,99,FALSE)</f>
        <v>1.1311178491217359E-8</v>
      </c>
      <c r="AV31">
        <f>_xlfn.HYPGEOM.DIST($A9,$C$3,'Benchmarks by Card Role'!F$42,99,FALSE)</f>
        <v>4.0542313917958778E-8</v>
      </c>
      <c r="AW31">
        <f>_xlfn.HYPGEOM.DIST($A9,$C$3,'Benchmarks by Card Role'!G$42,99,FALSE)</f>
        <v>1.1886269307765163E-7</v>
      </c>
      <c r="AX31">
        <f>_xlfn.HYPGEOM.DIST($A9,$C$3,'Benchmarks by Card Role'!H$42,99,FALSE)</f>
        <v>3.0193856517426469E-7</v>
      </c>
      <c r="AY31">
        <f>_xlfn.HYPGEOM.DIST($A9,$C$3,'Benchmarks by Card Role'!I$42,99,FALSE)</f>
        <v>6.8813905551344081E-7</v>
      </c>
      <c r="AZ31">
        <f>_xlfn.HYPGEOM.DIST($A9,$C$3,'Benchmarks by Card Role'!J$42,99,FALSE)</f>
        <v>1.439887603553334E-6</v>
      </c>
      <c r="BA31">
        <f>_xlfn.HYPGEOM.DIST($A9,$C$3,'Benchmarks by Card Role'!K$42,99,FALSE)</f>
        <v>2.811209130746982E-6</v>
      </c>
      <c r="BB31">
        <f>_xlfn.HYPGEOM.DIST($A9,$C$3,'Benchmarks by Card Role'!L$42,99,FALSE)</f>
        <v>5.1821083976420355E-6</v>
      </c>
    </row>
    <row r="32" spans="6:54" x14ac:dyDescent="0.25">
      <c r="F32">
        <f>SUM(F23*$A$1,F24*$A$2,F25*$A$3,F26*$A$4,F27*$A$5,F28*$A$6,F29*$A$7,F30*$A$8,F31*$A$9)</f>
        <v>2.9288750823916438</v>
      </c>
      <c r="G32">
        <f t="shared" ref="G32" si="30">SUM(G23*$A$1,G24*$A$2,G25*$A$3,G26*$A$4,G27*$A$5,G28*$A$6,G29*$A$7,G30*$A$8,G31*$A$9)</f>
        <v>3.0297134529170417</v>
      </c>
      <c r="H32">
        <f t="shared" ref="H32" si="31">SUM(H23*$A$1,H24*$A$2,H25*$A$3,H26*$A$4,H27*$A$5,H28*$A$6,H29*$A$7,H30*$A$8,H31*$A$9)</f>
        <v>3.1304927154292295</v>
      </c>
      <c r="I32">
        <f t="shared" ref="I32" si="32">SUM(I23*$A$1,I24*$A$2,I25*$A$3,I26*$A$4,I27*$A$5,I28*$A$6,I29*$A$7,I30*$A$8,I31*$A$9)</f>
        <v>3.2311961872686208</v>
      </c>
      <c r="J32">
        <f t="shared" ref="J32" si="33">SUM(J23*$A$1,J24*$A$2,J25*$A$3,J26*$A$4,J27*$A$5,J28*$A$6,J29*$A$7,J30*$A$8,J31*$A$9)</f>
        <v>3.3318034506893142</v>
      </c>
      <c r="K32">
        <f t="shared" ref="K32" si="34">SUM(K23*$A$1,K24*$A$2,K25*$A$3,K26*$A$4,K27*$A$5,K28*$A$6,K29*$A$7,K30*$A$8,K31*$A$9)</f>
        <v>3.4322897278038274</v>
      </c>
      <c r="L32">
        <f t="shared" ref="L32" si="35">SUM(L23*$A$1,L24*$A$2,L25*$A$3,L26*$A$4,L27*$A$5,L28*$A$6,L29*$A$7,L30*$A$8,L31*$A$9)</f>
        <v>3.5326251875105616</v>
      </c>
      <c r="M32">
        <f t="shared" ref="M32" si="36">SUM(M23*$A$1,M24*$A$2,M25*$A$3,M26*$A$4,M27*$A$5,M28*$A$6,M29*$A$7,M30*$A$8,M31*$A$9)</f>
        <v>3.6327741820585957</v>
      </c>
      <c r="N32">
        <f t="shared" ref="N32" si="37">SUM(N23*$A$1,N24*$A$2,N25*$A$3,N26*$A$4,N27*$A$5,N28*$A$6,N29*$A$7,N30*$A$8,N31*$A$9)</f>
        <v>3.7326944114813685</v>
      </c>
      <c r="P32">
        <f>SUM(P23*$A$1,P24*$A$2,P25*$A$3,P26*$A$4,P27*$A$5,P28*$A$6,P29*$A$7,P30*$A$8,P31*$A$9)</f>
        <v>0.70707070707070729</v>
      </c>
      <c r="Q32">
        <f t="shared" ref="Q32" si="38">SUM(Q23*$A$1,Q24*$A$2,Q25*$A$3,Q26*$A$4,Q27*$A$5,Q28*$A$6,Q29*$A$7,Q30*$A$8,Q31*$A$9)</f>
        <v>0.80808080808080796</v>
      </c>
      <c r="R32">
        <f t="shared" ref="R32" si="39">SUM(R23*$A$1,R24*$A$2,R25*$A$3,R26*$A$4,R27*$A$5,R28*$A$6,R29*$A$7,R30*$A$8,R31*$A$9)</f>
        <v>0.90909090903891676</v>
      </c>
      <c r="S32">
        <f t="shared" ref="S32" si="40">SUM(S23*$A$1,S24*$A$2,S25*$A$3,S26*$A$4,S27*$A$5,S28*$A$6,S29*$A$7,S30*$A$8,S31*$A$9)</f>
        <v>1.0101010095862242</v>
      </c>
      <c r="T32">
        <f t="shared" ref="T32" si="41">SUM(T23*$A$1,T24*$A$2,T25*$A$3,T26*$A$4,T27*$A$5,T28*$A$6,T29*$A$7,T30*$A$8,T31*$A$9)</f>
        <v>1.1111111083080287</v>
      </c>
      <c r="U32">
        <f t="shared" ref="U32" si="42">SUM(U23*$A$1,U24*$A$2,U25*$A$3,U26*$A$4,U27*$A$5,U28*$A$6,U29*$A$7,U30*$A$8,U31*$A$9)</f>
        <v>1.2121212010218534</v>
      </c>
      <c r="V32">
        <f t="shared" ref="V32" si="43">SUM(V23*$A$1,V24*$A$2,V25*$A$3,V26*$A$4,V27*$A$5,V28*$A$6,V29*$A$7,V30*$A$8,V31*$A$9)</f>
        <v>1.3131312774255512</v>
      </c>
      <c r="W32">
        <f t="shared" ref="W32:X32" si="44">SUM(W23*$A$1,W24*$A$2,W25*$A$3,W26*$A$4,W27*$A$5,W28*$A$6,W29*$A$7,W30*$A$8,W31*$A$9)</f>
        <v>1.4141413151933147</v>
      </c>
      <c r="X32">
        <f t="shared" si="44"/>
        <v>1.5151512703513472</v>
      </c>
      <c r="Z32">
        <f>SUM(Z23*$A$1,Z24*$A$2,Z25*$A$3,Z26*$A$4,Z27*$A$5,Z28*$A$6,Z29*$A$7,Z30*$A$8,Z31*$A$9)</f>
        <v>0.70707070707070729</v>
      </c>
      <c r="AA32">
        <f t="shared" ref="AA32:AH32" si="45">SUM(AA23*$A$1,AA24*$A$2,AA25*$A$3,AA26*$A$4,AA27*$A$5,AA28*$A$6,AA29*$A$7,AA30*$A$8,AA31*$A$9)</f>
        <v>0.80808080808080796</v>
      </c>
      <c r="AB32">
        <f t="shared" si="45"/>
        <v>0.90909090903891676</v>
      </c>
      <c r="AC32">
        <f t="shared" si="45"/>
        <v>1.0101010095862242</v>
      </c>
      <c r="AD32">
        <f t="shared" si="45"/>
        <v>1.1111111083080287</v>
      </c>
      <c r="AE32">
        <f t="shared" si="45"/>
        <v>1.2121212010218534</v>
      </c>
      <c r="AF32">
        <f t="shared" si="45"/>
        <v>1.3131312774255512</v>
      </c>
      <c r="AG32">
        <f t="shared" si="45"/>
        <v>1.4141413151933147</v>
      </c>
      <c r="AH32">
        <f t="shared" si="45"/>
        <v>1.5151512703513472</v>
      </c>
      <c r="AJ32">
        <f>SUM(AJ23*$A$1,AJ24*$A$2,AJ25*$A$3,AJ26*$A$4,AJ27*$A$5,AJ28*$A$6,AJ29*$A$7,AJ30*$A$8,AJ31*$A$9)</f>
        <v>0</v>
      </c>
      <c r="AK32">
        <f t="shared" ref="AK32:AR32" si="46">SUM(AK23*$A$1,AK24*$A$2,AK25*$A$3,AK26*$A$4,AK27*$A$5,AK28*$A$6,AK29*$A$7,AK30*$A$8,AK31*$A$9)</f>
        <v>0.10101010101010102</v>
      </c>
      <c r="AL32">
        <f t="shared" si="46"/>
        <v>0.20202020202020193</v>
      </c>
      <c r="AM32">
        <f t="shared" si="46"/>
        <v>0.30303030303030304</v>
      </c>
      <c r="AN32">
        <f t="shared" si="46"/>
        <v>0.40404040404040403</v>
      </c>
      <c r="AO32">
        <f t="shared" si="46"/>
        <v>0.50505050505050519</v>
      </c>
      <c r="AP32">
        <f t="shared" si="46"/>
        <v>0.60606060606060608</v>
      </c>
      <c r="AQ32">
        <f t="shared" si="46"/>
        <v>0.70707070707070729</v>
      </c>
      <c r="AR32">
        <f t="shared" si="46"/>
        <v>0.80808080808080796</v>
      </c>
      <c r="AT32">
        <f>SUM(AT23*$A$1,AT24*$A$2,AT25*$A$3,AT26*$A$4,AT27*$A$5,AT28*$A$6,AT29*$A$7,AT30*$A$8,AT31*$A$9)</f>
        <v>0.90909090903891676</v>
      </c>
      <c r="AU32">
        <f t="shared" ref="AU32:BB32" si="47">SUM(AU23*$A$1,AU24*$A$2,AU25*$A$3,AU26*$A$4,AU27*$A$5,AU28*$A$6,AU29*$A$7,AU30*$A$8,AU31*$A$9)</f>
        <v>1.0101010095862242</v>
      </c>
      <c r="AV32">
        <f t="shared" si="47"/>
        <v>1.1111111083080287</v>
      </c>
      <c r="AW32">
        <f t="shared" si="47"/>
        <v>1.2121212010218534</v>
      </c>
      <c r="AX32">
        <f t="shared" si="47"/>
        <v>1.3131312774255512</v>
      </c>
      <c r="AY32">
        <f t="shared" si="47"/>
        <v>1.4141413151933147</v>
      </c>
      <c r="AZ32">
        <f t="shared" si="47"/>
        <v>1.5151512703513472</v>
      </c>
      <c r="BA32">
        <f t="shared" si="47"/>
        <v>1.6161610624928444</v>
      </c>
      <c r="BB32">
        <f t="shared" si="47"/>
        <v>1.7171705531088253</v>
      </c>
    </row>
    <row r="34" spans="6:54" x14ac:dyDescent="0.25">
      <c r="F34">
        <f>_xlfn.HYPGEOM.DIST($A1,$C$4,'Benchmarks by Card Role'!D$2,99,FALSE)</f>
        <v>1.7166472253199682E-2</v>
      </c>
      <c r="G34">
        <f>_xlfn.HYPGEOM.DIST($A1,$C$4,'Benchmarks by Card Role'!E$2,99,FALSE)</f>
        <v>1.4468883756268289E-2</v>
      </c>
      <c r="H34">
        <f>_xlfn.HYPGEOM.DIST($A1,$C$4,'Benchmarks by Card Role'!F$2,99,FALSE)</f>
        <v>1.216225011396466E-2</v>
      </c>
      <c r="I34">
        <f>_xlfn.HYPGEOM.DIST($A1,$C$4,'Benchmarks by Card Role'!G$2,99,FALSE)</f>
        <v>1.0194827301411543E-2</v>
      </c>
      <c r="J34">
        <f>_xlfn.HYPGEOM.DIST($A1,$C$4,'Benchmarks by Card Role'!H$2,99,FALSE)</f>
        <v>8.521049684761894E-3</v>
      </c>
      <c r="K34">
        <f>_xlfn.HYPGEOM.DIST($A1,$C$4,'Benchmarks by Card Role'!I$2,99,FALSE)</f>
        <v>7.1008747373015784E-3</v>
      </c>
      <c r="L34">
        <f>_xlfn.HYPGEOM.DIST($A1,$C$4,'Benchmarks by Card Role'!J$2,99,FALSE)</f>
        <v>5.8991882432966984E-3</v>
      </c>
      <c r="M34">
        <f>_xlfn.HYPGEOM.DIST($A1,$C$4,'Benchmarks by Card Role'!K$2,99,FALSE)</f>
        <v>4.885265263980078E-3</v>
      </c>
      <c r="N34">
        <f>_xlfn.HYPGEOM.DIST($A1,$C$4,'Benchmarks by Card Role'!L$2,99,FALSE)</f>
        <v>4.0322824401105399E-3</v>
      </c>
      <c r="P34">
        <f>_xlfn.HYPGEOM.DIST($A1,$C$4,'Benchmarks by Card Role'!D$12,99,FALSE)</f>
        <v>0.42643406223980268</v>
      </c>
      <c r="Q34">
        <f>_xlfn.HYPGEOM.DIST($A1,$C$4,'Benchmarks by Card Role'!E$12,99,FALSE)</f>
        <v>0.3754473808850437</v>
      </c>
      <c r="R34">
        <f>_xlfn.HYPGEOM.DIST($A1,$C$4,'Benchmarks by Card Role'!F$12,99,FALSE)</f>
        <v>0.33006363154729124</v>
      </c>
      <c r="S34">
        <f>_xlfn.HYPGEOM.DIST($A1,$C$4,'Benchmarks by Card Role'!G$12,99,FALSE)</f>
        <v>0.28972252102484436</v>
      </c>
      <c r="T34">
        <f>_xlfn.HYPGEOM.DIST($A1,$C$4,'Benchmarks by Card Role'!H$12,99,FALSE)</f>
        <v>0.25391411954986365</v>
      </c>
      <c r="U34">
        <f>_xlfn.HYPGEOM.DIST($A1,$C$4,'Benchmarks by Card Role'!I$12,99,FALSE)</f>
        <v>0.22217485460613076</v>
      </c>
      <c r="V34">
        <f>_xlfn.HYPGEOM.DIST($A1,$C$4,'Benchmarks by Card Role'!J$12,99,FALSE)</f>
        <v>0.1940837810352406</v>
      </c>
      <c r="W34">
        <f>_xlfn.HYPGEOM.DIST($A1,$C$4,'Benchmarks by Card Role'!K$12,99,FALSE)</f>
        <v>0.16925911136794247</v>
      </c>
      <c r="X34">
        <f>_xlfn.HYPGEOM.DIST($A1,$C$4,'Benchmarks by Card Role'!L$12,99,FALSE)</f>
        <v>0.14735499107326755</v>
      </c>
      <c r="Z34">
        <f>_xlfn.HYPGEOM.DIST($A1,$C$4,'Benchmarks by Card Role'!D$22,99,FALSE)</f>
        <v>0.42643406223980268</v>
      </c>
      <c r="AA34">
        <f>_xlfn.HYPGEOM.DIST($A1,$C$4,'Benchmarks by Card Role'!E$22,99,FALSE)</f>
        <v>0.3754473808850437</v>
      </c>
      <c r="AB34">
        <f>_xlfn.HYPGEOM.DIST($A1,$C$4,'Benchmarks by Card Role'!F$22,99,FALSE)</f>
        <v>0.33006363154729124</v>
      </c>
      <c r="AC34">
        <f>_xlfn.HYPGEOM.DIST($A1,$C$4,'Benchmarks by Card Role'!G$22,99,FALSE)</f>
        <v>0.28972252102484436</v>
      </c>
      <c r="AD34">
        <f>_xlfn.HYPGEOM.DIST($A1,$C$4,'Benchmarks by Card Role'!H$22,99,FALSE)</f>
        <v>0.25391411954986365</v>
      </c>
      <c r="AE34">
        <f>_xlfn.HYPGEOM.DIST($A1,$C$4,'Benchmarks by Card Role'!I$22,99,FALSE)</f>
        <v>0.22217485460613076</v>
      </c>
      <c r="AF34">
        <f>_xlfn.HYPGEOM.DIST($A1,$C$4,'Benchmarks by Card Role'!J$22,99,FALSE)</f>
        <v>0.1940837810352406</v>
      </c>
      <c r="AG34">
        <f>_xlfn.HYPGEOM.DIST($A1,$C$4,'Benchmarks by Card Role'!K$22,99,FALSE)</f>
        <v>0.16925911136794247</v>
      </c>
      <c r="AH34">
        <f>_xlfn.HYPGEOM.DIST($A1,$C$4,'Benchmarks by Card Role'!L$22,99,FALSE)</f>
        <v>0.14735499107326755</v>
      </c>
      <c r="AJ34">
        <f>_xlfn.HYPGEOM.DIST($A1,$C$4,'Benchmarks by Card Role'!D$32,99,FALSE)</f>
        <v>1</v>
      </c>
      <c r="AK34">
        <f>_xlfn.HYPGEOM.DIST($A1,$C$4,'Benchmarks by Card Role'!E$32,99,FALSE)</f>
        <v>0.88888888888888928</v>
      </c>
      <c r="AL34">
        <f>_xlfn.HYPGEOM.DIST($A1,$C$4,'Benchmarks by Card Role'!F$32,99,FALSE)</f>
        <v>0.78911564625850372</v>
      </c>
      <c r="AM34">
        <f>_xlfn.HYPGEOM.DIST($A1,$C$4,'Benchmarks by Card Role'!G$32,99,FALSE)</f>
        <v>0.69962830493021966</v>
      </c>
      <c r="AN34">
        <f>_xlfn.HYPGEOM.DIST($A1,$C$4,'Benchmarks by Card Role'!H$32,99,FALSE)</f>
        <v>0.61946256165696556</v>
      </c>
      <c r="AO34">
        <f>_xlfn.HYPGEOM.DIST($A1,$C$4,'Benchmarks by Card Role'!I$32,99,FALSE)</f>
        <v>0.54773531767563233</v>
      </c>
      <c r="AP34">
        <f>_xlfn.HYPGEOM.DIST($A1,$C$4,'Benchmarks by Card Role'!J$32,99,FALSE)</f>
        <v>0.48363863156465431</v>
      </c>
      <c r="AQ34">
        <f>_xlfn.HYPGEOM.DIST($A1,$C$4,'Benchmarks by Card Role'!K$32,99,FALSE)</f>
        <v>0.42643406223980268</v>
      </c>
      <c r="AR34">
        <f>_xlfn.HYPGEOM.DIST($A1,$C$4,'Benchmarks by Card Role'!L$32,99,FALSE)</f>
        <v>0.3754473808850437</v>
      </c>
      <c r="AT34">
        <f>_xlfn.HYPGEOM.DIST($A1,$C$4,'Benchmarks by Card Role'!D$42,99,FALSE)</f>
        <v>0.33006363154729124</v>
      </c>
      <c r="AU34">
        <f>_xlfn.HYPGEOM.DIST($A1,$C$4,'Benchmarks by Card Role'!E$42,99,FALSE)</f>
        <v>0.28972252102484436</v>
      </c>
      <c r="AV34">
        <f>_xlfn.HYPGEOM.DIST($A1,$C$4,'Benchmarks by Card Role'!F$42,99,FALSE)</f>
        <v>0.25391411954986365</v>
      </c>
      <c r="AW34">
        <f>_xlfn.HYPGEOM.DIST($A1,$C$4,'Benchmarks by Card Role'!G$42,99,FALSE)</f>
        <v>0.22217485460613076</v>
      </c>
      <c r="AX34">
        <f>_xlfn.HYPGEOM.DIST($A1,$C$4,'Benchmarks by Card Role'!H$42,99,FALSE)</f>
        <v>0.1940837810352406</v>
      </c>
      <c r="AY34">
        <f>_xlfn.HYPGEOM.DIST($A1,$C$4,'Benchmarks by Card Role'!I$42,99,FALSE)</f>
        <v>0.16925911136794247</v>
      </c>
      <c r="AZ34">
        <f>_xlfn.HYPGEOM.DIST($A1,$C$4,'Benchmarks by Card Role'!J$42,99,FALSE)</f>
        <v>0.14735499107326755</v>
      </c>
      <c r="BA34">
        <f>_xlfn.HYPGEOM.DIST($A1,$C$4,'Benchmarks by Card Role'!K$42,99,FALSE)</f>
        <v>0.12805850414700631</v>
      </c>
      <c r="BB34">
        <f>_xlfn.HYPGEOM.DIST($A1,$C$4,'Benchmarks by Card Role'!L$42,99,FALSE)</f>
        <v>0.11108689516366817</v>
      </c>
    </row>
    <row r="35" spans="6:54" x14ac:dyDescent="0.25">
      <c r="F35">
        <f>_xlfn.HYPGEOM.DIST($A2,$C$4,'Benchmarks by Card Role'!D$2,99,FALSE)</f>
        <v>9.1268410812845008E-2</v>
      </c>
      <c r="G35">
        <f>_xlfn.HYPGEOM.DIST($A2,$C$4,'Benchmarks by Card Role'!E$2,99,FALSE)</f>
        <v>8.0927654907941349E-2</v>
      </c>
      <c r="H35">
        <f>_xlfn.HYPGEOM.DIST($A2,$C$4,'Benchmarks by Card Role'!F$2,99,FALSE)</f>
        <v>7.1505642911412856E-2</v>
      </c>
      <c r="I35">
        <f>_xlfn.HYPGEOM.DIST($A2,$C$4,'Benchmarks by Card Role'!G$2,99,FALSE)</f>
        <v>6.2957530001699361E-2</v>
      </c>
      <c r="J35">
        <f>_xlfn.HYPGEOM.DIST($A2,$C$4,'Benchmarks by Card Role'!H$2,99,FALSE)</f>
        <v>5.5234661349438684E-2</v>
      </c>
      <c r="K35">
        <f>_xlfn.HYPGEOM.DIST($A2,$C$4,'Benchmarks by Card Role'!I$2,99,FALSE)</f>
        <v>4.8285948213650697E-2</v>
      </c>
      <c r="L35">
        <f>_xlfn.HYPGEOM.DIST($A2,$C$4,'Benchmarks by Card Role'!J$2,99,FALSE)</f>
        <v>4.2059027290170838E-2</v>
      </c>
      <c r="M35">
        <f>_xlfn.HYPGEOM.DIST($A2,$C$4,'Benchmarks by Card Role'!K$2,99,FALSE)</f>
        <v>3.6501227255398248E-2</v>
      </c>
      <c r="N35">
        <f>_xlfn.HYPGEOM.DIST($A2,$C$4,'Benchmarks by Card Role'!L$2,99,FALSE)</f>
        <v>3.1560364483172863E-2</v>
      </c>
      <c r="P35">
        <f>_xlfn.HYPGEOM.DIST($A2,$C$4,'Benchmarks by Card Role'!D$12,99,FALSE)</f>
        <v>0.40043198527396096</v>
      </c>
      <c r="Q35">
        <f>_xlfn.HYPGEOM.DIST($A2,$C$4,'Benchmarks by Card Role'!E$12,99,FALSE)</f>
        <v>0.40789345083807194</v>
      </c>
      <c r="R35">
        <f>_xlfn.HYPGEOM.DIST($A2,$C$4,'Benchmarks by Card Role'!F$12,99,FALSE)</f>
        <v>0.40845374403977286</v>
      </c>
      <c r="S35">
        <f>_xlfn.HYPGEOM.DIST($A2,$C$4,'Benchmarks by Card Role'!G$12,99,FALSE)</f>
        <v>0.40341110522446672</v>
      </c>
      <c r="T35">
        <f>_xlfn.HYPGEOM.DIST($A2,$C$4,'Benchmarks by Card Role'!H$12,99,FALSE)</f>
        <v>0.3938924162247886</v>
      </c>
      <c r="U35">
        <f>_xlfn.HYPGEOM.DIST($A2,$C$4,'Benchmarks by Card Role'!I$12,99,FALSE)</f>
        <v>0.38087117932479536</v>
      </c>
      <c r="V35">
        <f>_xlfn.HYPGEOM.DIST($A2,$C$4,'Benchmarks by Card Role'!J$12,99,FALSE)</f>
        <v>0.36518395642157103</v>
      </c>
      <c r="W35">
        <f>_xlfn.HYPGEOM.DIST($A2,$C$4,'Benchmarks by Card Role'!K$12,99,FALSE)</f>
        <v>0.34754537534217506</v>
      </c>
      <c r="X35">
        <f>_xlfn.HYPGEOM.DIST($A2,$C$4,'Benchmarks by Card Role'!L$12,99,FALSE)</f>
        <v>0.32856180442012334</v>
      </c>
      <c r="Z35">
        <f>_xlfn.HYPGEOM.DIST($A2,$C$4,'Benchmarks by Card Role'!D$22,99,FALSE)</f>
        <v>0.40043198527396096</v>
      </c>
      <c r="AA35">
        <f>_xlfn.HYPGEOM.DIST($A2,$C$4,'Benchmarks by Card Role'!E$22,99,FALSE)</f>
        <v>0.40789345083807194</v>
      </c>
      <c r="AB35">
        <f>_xlfn.HYPGEOM.DIST($A2,$C$4,'Benchmarks by Card Role'!F$22,99,FALSE)</f>
        <v>0.40845374403977286</v>
      </c>
      <c r="AC35">
        <f>_xlfn.HYPGEOM.DIST($A2,$C$4,'Benchmarks by Card Role'!G$22,99,FALSE)</f>
        <v>0.40341110522446672</v>
      </c>
      <c r="AD35">
        <f>_xlfn.HYPGEOM.DIST($A2,$C$4,'Benchmarks by Card Role'!H$22,99,FALSE)</f>
        <v>0.3938924162247886</v>
      </c>
      <c r="AE35">
        <f>_xlfn.HYPGEOM.DIST($A2,$C$4,'Benchmarks by Card Role'!I$22,99,FALSE)</f>
        <v>0.38087117932479536</v>
      </c>
      <c r="AF35">
        <f>_xlfn.HYPGEOM.DIST($A2,$C$4,'Benchmarks by Card Role'!J$22,99,FALSE)</f>
        <v>0.36518395642157103</v>
      </c>
      <c r="AG35">
        <f>_xlfn.HYPGEOM.DIST($A2,$C$4,'Benchmarks by Card Role'!K$22,99,FALSE)</f>
        <v>0.34754537534217506</v>
      </c>
      <c r="AH35">
        <f>_xlfn.HYPGEOM.DIST($A2,$C$4,'Benchmarks by Card Role'!L$22,99,FALSE)</f>
        <v>0.32856180442012334</v>
      </c>
      <c r="AJ35">
        <f>_xlfn.HYPGEOM.DIST($A2,$C$4,'Benchmarks by Card Role'!D$32,99,FALSE)</f>
        <v>0</v>
      </c>
      <c r="AK35">
        <f>_xlfn.HYPGEOM.DIST($A2,$C$4,'Benchmarks by Card Role'!E$32,99,FALSE)</f>
        <v>0.1111111111111111</v>
      </c>
      <c r="AL35">
        <f>_xlfn.HYPGEOM.DIST($A2,$C$4,'Benchmarks by Card Role'!F$32,99,FALSE)</f>
        <v>0.19954648526077098</v>
      </c>
      <c r="AM35">
        <f>_xlfn.HYPGEOM.DIST($A2,$C$4,'Benchmarks by Card Role'!G$32,99,FALSE)</f>
        <v>0.26846202398485181</v>
      </c>
      <c r="AN35">
        <f>_xlfn.HYPGEOM.DIST($A2,$C$4,'Benchmarks by Card Role'!H$32,99,FALSE)</f>
        <v>0.32066297309301711</v>
      </c>
      <c r="AO35">
        <f>_xlfn.HYPGEOM.DIST($A2,$C$4,'Benchmarks by Card Role'!I$32,99,FALSE)</f>
        <v>0.35863621990666411</v>
      </c>
      <c r="AP35">
        <f>_xlfn.HYPGEOM.DIST($A2,$C$4,'Benchmarks by Card Role'!J$32,99,FALSE)</f>
        <v>0.38458011666586961</v>
      </c>
      <c r="AQ35">
        <f>_xlfn.HYPGEOM.DIST($A2,$C$4,'Benchmarks by Card Role'!K$32,99,FALSE)</f>
        <v>0.40043198527396096</v>
      </c>
      <c r="AR35">
        <f>_xlfn.HYPGEOM.DIST($A2,$C$4,'Benchmarks by Card Role'!L$32,99,FALSE)</f>
        <v>0.40789345083807194</v>
      </c>
      <c r="AT35">
        <f>_xlfn.HYPGEOM.DIST($A2,$C$4,'Benchmarks by Card Role'!D$42,99,FALSE)</f>
        <v>0.40845374403977286</v>
      </c>
      <c r="AU35">
        <f>_xlfn.HYPGEOM.DIST($A2,$C$4,'Benchmarks by Card Role'!E$42,99,FALSE)</f>
        <v>0.40341110522446672</v>
      </c>
      <c r="AV35">
        <f>_xlfn.HYPGEOM.DIST($A2,$C$4,'Benchmarks by Card Role'!F$42,99,FALSE)</f>
        <v>0.3938924162247886</v>
      </c>
      <c r="AW35">
        <f>_xlfn.HYPGEOM.DIST($A2,$C$4,'Benchmarks by Card Role'!G$42,99,FALSE)</f>
        <v>0.38087117932479536</v>
      </c>
      <c r="AX35">
        <f>_xlfn.HYPGEOM.DIST($A2,$C$4,'Benchmarks by Card Role'!H$42,99,FALSE)</f>
        <v>0.36518395642157103</v>
      </c>
      <c r="AY35">
        <f>_xlfn.HYPGEOM.DIST($A2,$C$4,'Benchmarks by Card Role'!I$42,99,FALSE)</f>
        <v>0.34754537534217506</v>
      </c>
      <c r="AZ35">
        <f>_xlfn.HYPGEOM.DIST($A2,$C$4,'Benchmarks by Card Role'!J$42,99,FALSE)</f>
        <v>0.32856180442012334</v>
      </c>
      <c r="BA35">
        <f>_xlfn.HYPGEOM.DIST($A2,$C$4,'Benchmarks by Card Role'!K$42,99,FALSE)</f>
        <v>0.30874379082017944</v>
      </c>
      <c r="BB35">
        <f>_xlfn.HYPGEOM.DIST($A2,$C$4,'Benchmarks by Card Role'!L$42,99,FALSE)</f>
        <v>0.28851735271674905</v>
      </c>
    </row>
    <row r="36" spans="6:54" x14ac:dyDescent="0.25">
      <c r="F36">
        <f>_xlfn.HYPGEOM.DIST($A3,$C$4,'Benchmarks by Card Role'!D$2,99,FALSE)</f>
        <v>0.20946848383275898</v>
      </c>
      <c r="G36">
        <f>_xlfn.HYPGEOM.DIST($A3,$C$4,'Benchmarks by Card Role'!E$2,99,FALSE)</f>
        <v>0.19557516602752484</v>
      </c>
      <c r="H36">
        <f>_xlfn.HYPGEOM.DIST($A3,$C$4,'Benchmarks by Card Role'!F$2,99,FALSE)</f>
        <v>0.18179400740189713</v>
      </c>
      <c r="I36">
        <f>_xlfn.HYPGEOM.DIST($A3,$C$4,'Benchmarks by Card Role'!G$2,99,FALSE)</f>
        <v>0.16824857155626549</v>
      </c>
      <c r="J36">
        <f>_xlfn.HYPGEOM.DIST($A3,$C$4,'Benchmarks by Card Role'!H$2,99,FALSE)</f>
        <v>0.15504466343702072</v>
      </c>
      <c r="K36">
        <f>_xlfn.HYPGEOM.DIST($A3,$C$4,'Benchmarks by Card Role'!I$2,99,FALSE)</f>
        <v>0.14227109741522082</v>
      </c>
      <c r="L36">
        <f>_xlfn.HYPGEOM.DIST($A3,$C$4,'Benchmarks by Card Role'!J$2,99,FALSE)</f>
        <v>0.13000062980598251</v>
      </c>
      <c r="M36">
        <f>_xlfn.HYPGEOM.DIST($A3,$C$4,'Benchmarks by Card Role'!K$2,99,FALSE)</f>
        <v>0.11829101425360553</v>
      </c>
      <c r="N36">
        <f>_xlfn.HYPGEOM.DIST($A3,$C$4,'Benchmarks by Card Role'!L$2,99,FALSE)</f>
        <v>0.10718614352775692</v>
      </c>
      <c r="P36">
        <f>_xlfn.HYPGEOM.DIST($A3,$C$4,'Benchmarks by Card Role'!D$12,99,FALSE)</f>
        <v>0.14473445250866057</v>
      </c>
      <c r="Q36">
        <f>_xlfn.HYPGEOM.DIST($A3,$C$4,'Benchmarks by Card Role'!E$12,99,FALSE)</f>
        <v>0.17410086316259168</v>
      </c>
      <c r="R36">
        <f>_xlfn.HYPGEOM.DIST($A3,$C$4,'Benchmarks by Card Role'!F$12,99,FALSE)</f>
        <v>0.20170555261223347</v>
      </c>
      <c r="S36">
        <f>_xlfn.HYPGEOM.DIST($A3,$C$4,'Benchmarks by Card Role'!G$12,99,FALSE)</f>
        <v>0.2269187466887628</v>
      </c>
      <c r="T36">
        <f>_xlfn.HYPGEOM.DIST($A3,$C$4,'Benchmarks by Card Role'!H$12,99,FALSE)</f>
        <v>0.24929899761062568</v>
      </c>
      <c r="U36">
        <f>_xlfn.HYPGEOM.DIST($A3,$C$4,'Benchmarks by Card Role'!I$12,99,FALSE)</f>
        <v>0.26856301106235564</v>
      </c>
      <c r="V36">
        <f>_xlfn.HYPGEOM.DIST($A3,$C$4,'Benchmarks by Card Role'!J$12,99,FALSE)</f>
        <v>0.28455892708174357</v>
      </c>
      <c r="W36">
        <f>_xlfn.HYPGEOM.DIST($A3,$C$4,'Benchmarks by Card Role'!K$12,99,FALSE)</f>
        <v>0.29724275522686028</v>
      </c>
      <c r="X36">
        <f>_xlfn.HYPGEOM.DIST($A3,$C$4,'Benchmarks by Card Role'!L$12,99,FALSE)</f>
        <v>0.30665768412544858</v>
      </c>
      <c r="Z36">
        <f>_xlfn.HYPGEOM.DIST($A3,$C$4,'Benchmarks by Card Role'!D$22,99,FALSE)</f>
        <v>0.14473445250866057</v>
      </c>
      <c r="AA36">
        <f>_xlfn.HYPGEOM.DIST($A3,$C$4,'Benchmarks by Card Role'!E$22,99,FALSE)</f>
        <v>0.17410086316259168</v>
      </c>
      <c r="AB36">
        <f>_xlfn.HYPGEOM.DIST($A3,$C$4,'Benchmarks by Card Role'!F$22,99,FALSE)</f>
        <v>0.20170555261223347</v>
      </c>
      <c r="AC36">
        <f>_xlfn.HYPGEOM.DIST($A3,$C$4,'Benchmarks by Card Role'!G$22,99,FALSE)</f>
        <v>0.2269187466887628</v>
      </c>
      <c r="AD36">
        <f>_xlfn.HYPGEOM.DIST($A3,$C$4,'Benchmarks by Card Role'!H$22,99,FALSE)</f>
        <v>0.24929899761062568</v>
      </c>
      <c r="AE36">
        <f>_xlfn.HYPGEOM.DIST($A3,$C$4,'Benchmarks by Card Role'!I$22,99,FALSE)</f>
        <v>0.26856301106235564</v>
      </c>
      <c r="AF36">
        <f>_xlfn.HYPGEOM.DIST($A3,$C$4,'Benchmarks by Card Role'!J$22,99,FALSE)</f>
        <v>0.28455892708174357</v>
      </c>
      <c r="AG36">
        <f>_xlfn.HYPGEOM.DIST($A3,$C$4,'Benchmarks by Card Role'!K$22,99,FALSE)</f>
        <v>0.29724275522686028</v>
      </c>
      <c r="AH36">
        <f>_xlfn.HYPGEOM.DIST($A3,$C$4,'Benchmarks by Card Role'!L$22,99,FALSE)</f>
        <v>0.30665768412544858</v>
      </c>
      <c r="AJ36">
        <f>_xlfn.HYPGEOM.DIST($A3,$C$4,'Benchmarks by Card Role'!D$32,99,FALSE)</f>
        <v>0</v>
      </c>
      <c r="AK36">
        <f>_xlfn.HYPGEOM.DIST($A3,$C$4,'Benchmarks by Card Role'!E$32,99,FALSE)</f>
        <v>0</v>
      </c>
      <c r="AL36">
        <f>_xlfn.HYPGEOM.DIST($A3,$C$4,'Benchmarks by Card Role'!F$32,99,FALSE)</f>
        <v>1.1337868480725618E-2</v>
      </c>
      <c r="AM36">
        <f>_xlfn.HYPGEOM.DIST($A3,$C$4,'Benchmarks by Card Role'!G$32,99,FALSE)</f>
        <v>3.0857703906304771E-2</v>
      </c>
      <c r="AN36">
        <f>_xlfn.HYPGEOM.DIST($A3,$C$4,'Benchmarks by Card Role'!H$32,99,FALSE)</f>
        <v>5.5929588330177415E-2</v>
      </c>
      <c r="AO36">
        <f>_xlfn.HYPGEOM.DIST($A3,$C$4,'Benchmarks by Card Role'!I$32,99,FALSE)</f>
        <v>8.4384992919215099E-2</v>
      </c>
      <c r="AP36">
        <f>_xlfn.HYPGEOM.DIST($A3,$C$4,'Benchmarks by Card Role'!J$32,99,FALSE)</f>
        <v>0.11445836805531835</v>
      </c>
      <c r="AQ36">
        <f>_xlfn.HYPGEOM.DIST($A3,$C$4,'Benchmarks by Card Role'!K$32,99,FALSE)</f>
        <v>0.14473445250866057</v>
      </c>
      <c r="AR36">
        <f>_xlfn.HYPGEOM.DIST($A3,$C$4,'Benchmarks by Card Role'!L$32,99,FALSE)</f>
        <v>0.17410086316259168</v>
      </c>
      <c r="AT36">
        <f>_xlfn.HYPGEOM.DIST($A3,$C$4,'Benchmarks by Card Role'!D$42,99,FALSE)</f>
        <v>0.20170555261223347</v>
      </c>
      <c r="AU36">
        <f>_xlfn.HYPGEOM.DIST($A3,$C$4,'Benchmarks by Card Role'!E$42,99,FALSE)</f>
        <v>0.2269187466887628</v>
      </c>
      <c r="AV36">
        <f>_xlfn.HYPGEOM.DIST($A3,$C$4,'Benchmarks by Card Role'!F$42,99,FALSE)</f>
        <v>0.24929899761062568</v>
      </c>
      <c r="AW36">
        <f>_xlfn.HYPGEOM.DIST($A3,$C$4,'Benchmarks by Card Role'!G$42,99,FALSE)</f>
        <v>0.26856301106235564</v>
      </c>
      <c r="AX36">
        <f>_xlfn.HYPGEOM.DIST($A3,$C$4,'Benchmarks by Card Role'!H$42,99,FALSE)</f>
        <v>0.28455892708174357</v>
      </c>
      <c r="AY36">
        <f>_xlfn.HYPGEOM.DIST($A3,$C$4,'Benchmarks by Card Role'!I$42,99,FALSE)</f>
        <v>0.29724275522686028</v>
      </c>
      <c r="AZ36">
        <f>_xlfn.HYPGEOM.DIST($A3,$C$4,'Benchmarks by Card Role'!J$42,99,FALSE)</f>
        <v>0.30665768412544858</v>
      </c>
      <c r="BA36">
        <f>_xlfn.HYPGEOM.DIST($A3,$C$4,'Benchmarks by Card Role'!K$42,99,FALSE)</f>
        <v>0.31291600420964139</v>
      </c>
      <c r="BB36">
        <f>_xlfn.HYPGEOM.DIST($A3,$C$4,'Benchmarks by Card Role'!L$42,99,FALSE)</f>
        <v>0.31618340023753322</v>
      </c>
    </row>
    <row r="37" spans="6:54" x14ac:dyDescent="0.25">
      <c r="F37">
        <f>_xlfn.HYPGEOM.DIST($A4,$C$4,'Benchmarks by Card Role'!D$2,99,FALSE)</f>
        <v>0.27366043855570127</v>
      </c>
      <c r="G37">
        <f>_xlfn.HYPGEOM.DIST($A4,$C$4,'Benchmarks by Card Role'!E$2,99,FALSE)</f>
        <v>0.26931662207069007</v>
      </c>
      <c r="H37">
        <f>_xlfn.HYPGEOM.DIST($A4,$C$4,'Benchmarks by Card Role'!F$2,99,FALSE)</f>
        <v>0.26360131073275112</v>
      </c>
      <c r="I37">
        <f>_xlfn.HYPGEOM.DIST($A4,$C$4,'Benchmarks by Card Role'!G$2,99,FALSE)</f>
        <v>0.25665036339091368</v>
      </c>
      <c r="J37">
        <f>_xlfn.HYPGEOM.DIST($A4,$C$4,'Benchmarks by Card Role'!H$2,99,FALSE)</f>
        <v>0.24860609826970606</v>
      </c>
      <c r="K37">
        <f>_xlfn.HYPGEOM.DIST($A4,$C$4,'Benchmarks by Card Role'!I$2,99,FALSE)</f>
        <v>0.23961447985721415</v>
      </c>
      <c r="L37">
        <f>_xlfn.HYPGEOM.DIST($A4,$C$4,'Benchmarks by Card Role'!J$2,99,FALSE)</f>
        <v>0.2298225419784338</v>
      </c>
      <c r="M37">
        <f>_xlfn.HYPGEOM.DIST($A4,$C$4,'Benchmarks by Card Role'!K$2,99,FALSE)</f>
        <v>0.21937606279759583</v>
      </c>
      <c r="N37">
        <f>_xlfn.HYPGEOM.DIST($A4,$C$4,'Benchmarks by Card Role'!L$2,99,FALSE)</f>
        <v>0.2084175013039718</v>
      </c>
      <c r="P37">
        <f>_xlfn.HYPGEOM.DIST($A4,$C$4,'Benchmarks by Card Role'!D$12,99,FALSE)</f>
        <v>2.5845437947975121E-2</v>
      </c>
      <c r="Q37">
        <f>_xlfn.HYPGEOM.DIST($A4,$C$4,'Benchmarks by Card Role'!E$12,99,FALSE)</f>
        <v>3.7756813697911409E-2</v>
      </c>
      <c r="R37">
        <f>_xlfn.HYPGEOM.DIST($A4,$C$4,'Benchmarks by Card Role'!F$12,99,FALSE)</f>
        <v>5.1656300059230546E-2</v>
      </c>
      <c r="S37">
        <f>_xlfn.HYPGEOM.DIST($A4,$C$4,'Benchmarks by Card Role'!G$12,99,FALSE)</f>
        <v>6.7235184204077841E-2</v>
      </c>
      <c r="T37">
        <f>_xlfn.HYPGEOM.DIST($A4,$C$4,'Benchmarks by Card Role'!H$12,99,FALSE)</f>
        <v>8.4138411693586296E-2</v>
      </c>
      <c r="U37">
        <f>_xlfn.HYPGEOM.DIST($A4,$C$4,'Benchmarks by Card Role'!I$12,99,FALSE)</f>
        <v>0.10198595356798322</v>
      </c>
      <c r="V37">
        <f>_xlfn.HYPGEOM.DIST($A4,$C$4,'Benchmarks by Card Role'!J$12,99,FALSE)</f>
        <v>0.12039031530381468</v>
      </c>
      <c r="W37">
        <f>_xlfn.HYPGEOM.DIST($A4,$C$4,'Benchmarks by Card Role'!K$12,99,FALSE)</f>
        <v>0.13897063880736321</v>
      </c>
      <c r="X37">
        <f>_xlfn.HYPGEOM.DIST($A4,$C$4,'Benchmarks by Card Role'!L$12,99,FALSE)</f>
        <v>0.15736381159069068</v>
      </c>
      <c r="Z37">
        <f>_xlfn.HYPGEOM.DIST($A4,$C$4,'Benchmarks by Card Role'!D$22,99,FALSE)</f>
        <v>2.5845437947975121E-2</v>
      </c>
      <c r="AA37">
        <f>_xlfn.HYPGEOM.DIST($A4,$C$4,'Benchmarks by Card Role'!E$22,99,FALSE)</f>
        <v>3.7756813697911409E-2</v>
      </c>
      <c r="AB37">
        <f>_xlfn.HYPGEOM.DIST($A4,$C$4,'Benchmarks by Card Role'!F$22,99,FALSE)</f>
        <v>5.1656300059230546E-2</v>
      </c>
      <c r="AC37">
        <f>_xlfn.HYPGEOM.DIST($A4,$C$4,'Benchmarks by Card Role'!G$22,99,FALSE)</f>
        <v>6.7235184204077841E-2</v>
      </c>
      <c r="AD37">
        <f>_xlfn.HYPGEOM.DIST($A4,$C$4,'Benchmarks by Card Role'!H$22,99,FALSE)</f>
        <v>8.4138411693586296E-2</v>
      </c>
      <c r="AE37">
        <f>_xlfn.HYPGEOM.DIST($A4,$C$4,'Benchmarks by Card Role'!I$22,99,FALSE)</f>
        <v>0.10198595356798322</v>
      </c>
      <c r="AF37">
        <f>_xlfn.HYPGEOM.DIST($A4,$C$4,'Benchmarks by Card Role'!J$22,99,FALSE)</f>
        <v>0.12039031530381468</v>
      </c>
      <c r="AG37">
        <f>_xlfn.HYPGEOM.DIST($A4,$C$4,'Benchmarks by Card Role'!K$22,99,FALSE)</f>
        <v>0.13897063880736321</v>
      </c>
      <c r="AH37">
        <f>_xlfn.HYPGEOM.DIST($A4,$C$4,'Benchmarks by Card Role'!L$22,99,FALSE)</f>
        <v>0.15736381159069068</v>
      </c>
      <c r="AJ37">
        <f>_xlfn.HYPGEOM.DIST($A4,$C$4,'Benchmarks by Card Role'!D$32,99,FALSE)</f>
        <v>0</v>
      </c>
      <c r="AK37">
        <f>_xlfn.HYPGEOM.DIST($A4,$C$4,'Benchmarks by Card Role'!E$32,99,FALSE)</f>
        <v>0</v>
      </c>
      <c r="AL37">
        <f>_xlfn.HYPGEOM.DIST($A4,$C$4,'Benchmarks by Card Role'!F$32,99,FALSE)</f>
        <v>0</v>
      </c>
      <c r="AM37">
        <f>_xlfn.HYPGEOM.DIST($A4,$C$4,'Benchmarks by Card Role'!G$32,99,FALSE)</f>
        <v>1.0519671786240275E-3</v>
      </c>
      <c r="AN37">
        <f>_xlfn.HYPGEOM.DIST($A4,$C$4,'Benchmarks by Card Role'!H$32,99,FALSE)</f>
        <v>3.8572129882880977E-3</v>
      </c>
      <c r="AO37">
        <f>_xlfn.HYPGEOM.DIST($A4,$C$4,'Benchmarks by Card Role'!I$32,99,FALSE)</f>
        <v>8.8309876310806602E-3</v>
      </c>
      <c r="AP37">
        <f>_xlfn.HYPGEOM.DIST($A4,$C$4,'Benchmarks by Card Role'!J$32,99,FALSE)</f>
        <v>1.6158828431339076E-2</v>
      </c>
      <c r="AQ37">
        <f>_xlfn.HYPGEOM.DIST($A4,$C$4,'Benchmarks by Card Role'!K$32,99,FALSE)</f>
        <v>2.5845437947975121E-2</v>
      </c>
      <c r="AR37">
        <f>_xlfn.HYPGEOM.DIST($A4,$C$4,'Benchmarks by Card Role'!L$32,99,FALSE)</f>
        <v>3.7756813697911409E-2</v>
      </c>
      <c r="AT37">
        <f>_xlfn.HYPGEOM.DIST($A4,$C$4,'Benchmarks by Card Role'!D$42,99,FALSE)</f>
        <v>5.1656300059230546E-2</v>
      </c>
      <c r="AU37">
        <f>_xlfn.HYPGEOM.DIST($A4,$C$4,'Benchmarks by Card Role'!E$42,99,FALSE)</f>
        <v>6.7235184204077841E-2</v>
      </c>
      <c r="AV37">
        <f>_xlfn.HYPGEOM.DIST($A4,$C$4,'Benchmarks by Card Role'!F$42,99,FALSE)</f>
        <v>8.4138411693586296E-2</v>
      </c>
      <c r="AW37">
        <f>_xlfn.HYPGEOM.DIST($A4,$C$4,'Benchmarks by Card Role'!G$42,99,FALSE)</f>
        <v>0.10198595356798322</v>
      </c>
      <c r="AX37">
        <f>_xlfn.HYPGEOM.DIST($A4,$C$4,'Benchmarks by Card Role'!H$42,99,FALSE)</f>
        <v>0.12039031530381468</v>
      </c>
      <c r="AY37">
        <f>_xlfn.HYPGEOM.DIST($A4,$C$4,'Benchmarks by Card Role'!I$42,99,FALSE)</f>
        <v>0.13897063880736321</v>
      </c>
      <c r="AZ37">
        <f>_xlfn.HYPGEOM.DIST($A4,$C$4,'Benchmarks by Card Role'!J$42,99,FALSE)</f>
        <v>0.15736381159069068</v>
      </c>
      <c r="BA37">
        <f>_xlfn.HYPGEOM.DIST($A4,$C$4,'Benchmarks by Card Role'!K$42,99,FALSE)</f>
        <v>0.17523296235739919</v>
      </c>
      <c r="BB37">
        <f>_xlfn.HYPGEOM.DIST($A4,$C$4,'Benchmarks by Card Role'!L$42,99,FALSE)</f>
        <v>0.19227368933363517</v>
      </c>
    </row>
    <row r="38" spans="6:54" x14ac:dyDescent="0.25">
      <c r="F38">
        <f>_xlfn.HYPGEOM.DIST($A5,$C$4,'Benchmarks by Card Role'!D$2,99,FALSE)</f>
        <v>0.22587845722057903</v>
      </c>
      <c r="G38">
        <f>_xlfn.HYPGEOM.DIST($A5,$C$4,'Benchmarks by Card Role'!E$2,99,FALSE)</f>
        <v>0.23456609019060098</v>
      </c>
      <c r="H38">
        <f>_xlfn.HYPGEOM.DIST($A5,$C$4,'Benchmarks by Card Role'!F$2,99,FALSE)</f>
        <v>0.24199464591859104</v>
      </c>
      <c r="I38">
        <f>_xlfn.HYPGEOM.DIST($A5,$C$4,'Benchmarks by Card Role'!G$2,99,FALSE)</f>
        <v>0.24809535127788329</v>
      </c>
      <c r="J38">
        <f>_xlfn.HYPGEOM.DIST($A5,$C$4,'Benchmarks by Card Role'!H$2,99,FALSE)</f>
        <v>0.25281976095224312</v>
      </c>
      <c r="K38">
        <f>_xlfn.HYPGEOM.DIST($A5,$C$4,'Benchmarks by Card Role'!I$2,99,FALSE)</f>
        <v>0.25613961639909122</v>
      </c>
      <c r="L38">
        <f>_xlfn.HYPGEOM.DIST($A5,$C$4,'Benchmarks by Card Role'!J$2,99,FALSE)</f>
        <v>0.25804636292315353</v>
      </c>
      <c r="M38">
        <f>_xlfn.HYPGEOM.DIST($A5,$C$4,'Benchmarks by Card Role'!K$2,99,FALSE)</f>
        <v>0.25855035972573781</v>
      </c>
      <c r="N38">
        <f>_xlfn.HYPGEOM.DIST($A5,$C$4,'Benchmarks by Card Role'!L$2,99,FALSE)</f>
        <v>0.25767981979400151</v>
      </c>
      <c r="P38">
        <f>_xlfn.HYPGEOM.DIST($A5,$C$4,'Benchmarks by Card Role'!D$12,99,FALSE)</f>
        <v>2.432511806868245E-3</v>
      </c>
      <c r="Q38">
        <f>_xlfn.HYPGEOM.DIST($A5,$C$4,'Benchmarks by Card Role'!E$12,99,FALSE)</f>
        <v>4.4948587735608872E-3</v>
      </c>
      <c r="R38">
        <f>_xlfn.HYPGEOM.DIST($A5,$C$4,'Benchmarks by Card Role'!F$12,99,FALSE)</f>
        <v>7.46838073145502E-3</v>
      </c>
      <c r="S38">
        <f>_xlfn.HYPGEOM.DIST($A5,$C$4,'Benchmarks by Card Role'!G$12,99,FALSE)</f>
        <v>1.1479177790940123E-2</v>
      </c>
      <c r="T38">
        <f>_xlfn.HYPGEOM.DIST($A5,$C$4,'Benchmarks by Card Role'!H$12,99,FALSE)</f>
        <v>1.6619933174041722E-2</v>
      </c>
      <c r="U38">
        <f>_xlfn.HYPGEOM.DIST($A5,$C$4,'Benchmarks by Card Role'!I$12,99,FALSE)</f>
        <v>2.2946839552796236E-2</v>
      </c>
      <c r="V38">
        <f>_xlfn.HYPGEOM.DIST($A5,$C$4,'Benchmarks by Card Role'!J$12,99,FALSE)</f>
        <v>3.0478560836408774E-2</v>
      </c>
      <c r="W38">
        <f>_xlfn.HYPGEOM.DIST($A5,$C$4,'Benchmarks by Card Role'!K$12,99,FALSE)</f>
        <v>3.9196846843102422E-2</v>
      </c>
      <c r="X38">
        <f>_xlfn.HYPGEOM.DIST($A5,$C$4,'Benchmarks by Card Role'!L$12,99,FALSE)</f>
        <v>4.9048460755539938E-2</v>
      </c>
      <c r="Z38">
        <f>_xlfn.HYPGEOM.DIST($A5,$C$4,'Benchmarks by Card Role'!D$22,99,FALSE)</f>
        <v>2.432511806868245E-3</v>
      </c>
      <c r="AA38">
        <f>_xlfn.HYPGEOM.DIST($A5,$C$4,'Benchmarks by Card Role'!E$22,99,FALSE)</f>
        <v>4.4948587735608872E-3</v>
      </c>
      <c r="AB38">
        <f>_xlfn.HYPGEOM.DIST($A5,$C$4,'Benchmarks by Card Role'!F$22,99,FALSE)</f>
        <v>7.46838073145502E-3</v>
      </c>
      <c r="AC38">
        <f>_xlfn.HYPGEOM.DIST($A5,$C$4,'Benchmarks by Card Role'!G$22,99,FALSE)</f>
        <v>1.1479177790940123E-2</v>
      </c>
      <c r="AD38">
        <f>_xlfn.HYPGEOM.DIST($A5,$C$4,'Benchmarks by Card Role'!H$22,99,FALSE)</f>
        <v>1.6619933174041722E-2</v>
      </c>
      <c r="AE38">
        <f>_xlfn.HYPGEOM.DIST($A5,$C$4,'Benchmarks by Card Role'!I$22,99,FALSE)</f>
        <v>2.2946839552796236E-2</v>
      </c>
      <c r="AF38">
        <f>_xlfn.HYPGEOM.DIST($A5,$C$4,'Benchmarks by Card Role'!J$22,99,FALSE)</f>
        <v>3.0478560836408774E-2</v>
      </c>
      <c r="AG38">
        <f>_xlfn.HYPGEOM.DIST($A5,$C$4,'Benchmarks by Card Role'!K$22,99,FALSE)</f>
        <v>3.9196846843102422E-2</v>
      </c>
      <c r="AH38">
        <f>_xlfn.HYPGEOM.DIST($A5,$C$4,'Benchmarks by Card Role'!L$22,99,FALSE)</f>
        <v>4.9048460755539938E-2</v>
      </c>
      <c r="AJ38">
        <f>_xlfn.HYPGEOM.DIST($A5,$C$4,'Benchmarks by Card Role'!D$32,99,FALSE)</f>
        <v>0</v>
      </c>
      <c r="AK38">
        <f>_xlfn.HYPGEOM.DIST($A5,$C$4,'Benchmarks by Card Role'!E$32,99,FALSE)</f>
        <v>0</v>
      </c>
      <c r="AL38">
        <f>_xlfn.HYPGEOM.DIST($A5,$C$4,'Benchmarks by Card Role'!F$32,99,FALSE)</f>
        <v>0</v>
      </c>
      <c r="AM38">
        <f>_xlfn.HYPGEOM.DIST($A5,$C$4,'Benchmarks by Card Role'!G$32,99,FALSE)</f>
        <v>0</v>
      </c>
      <c r="AN38">
        <f>_xlfn.HYPGEOM.DIST($A5,$C$4,'Benchmarks by Card Role'!H$32,99,FALSE)</f>
        <v>8.7663931552002194E-5</v>
      </c>
      <c r="AO38">
        <f>_xlfn.HYPGEOM.DIST($A5,$C$4,'Benchmarks by Card Role'!I$32,99,FALSE)</f>
        <v>4.0602241981979999E-4</v>
      </c>
      <c r="AP38">
        <f>_xlfn.HYPGEOM.DIST($A5,$C$4,'Benchmarks by Card Role'!J$32,99,FALSE)</f>
        <v>1.1273601231166803E-3</v>
      </c>
      <c r="AQ38">
        <f>_xlfn.HYPGEOM.DIST($A5,$C$4,'Benchmarks by Card Role'!K$32,99,FALSE)</f>
        <v>2.432511806868245E-3</v>
      </c>
      <c r="AR38">
        <f>_xlfn.HYPGEOM.DIST($A5,$C$4,'Benchmarks by Card Role'!L$32,99,FALSE)</f>
        <v>4.4948587735608872E-3</v>
      </c>
      <c r="AT38">
        <f>_xlfn.HYPGEOM.DIST($A5,$C$4,'Benchmarks by Card Role'!D$42,99,FALSE)</f>
        <v>7.46838073145502E-3</v>
      </c>
      <c r="AU38">
        <f>_xlfn.HYPGEOM.DIST($A5,$C$4,'Benchmarks by Card Role'!E$42,99,FALSE)</f>
        <v>1.1479177790940123E-2</v>
      </c>
      <c r="AV38">
        <f>_xlfn.HYPGEOM.DIST($A5,$C$4,'Benchmarks by Card Role'!F$42,99,FALSE)</f>
        <v>1.6619933174041722E-2</v>
      </c>
      <c r="AW38">
        <f>_xlfn.HYPGEOM.DIST($A5,$C$4,'Benchmarks by Card Role'!G$42,99,FALSE)</f>
        <v>2.2946839552796236E-2</v>
      </c>
      <c r="AX38">
        <f>_xlfn.HYPGEOM.DIST($A5,$C$4,'Benchmarks by Card Role'!H$42,99,FALSE)</f>
        <v>3.0478560836408774E-2</v>
      </c>
      <c r="AY38">
        <f>_xlfn.HYPGEOM.DIST($A5,$C$4,'Benchmarks by Card Role'!I$42,99,FALSE)</f>
        <v>3.9196846843102422E-2</v>
      </c>
      <c r="AZ38">
        <f>_xlfn.HYPGEOM.DIST($A5,$C$4,'Benchmarks by Card Role'!J$42,99,FALSE)</f>
        <v>4.9048460755539938E-2</v>
      </c>
      <c r="BA38">
        <f>_xlfn.HYPGEOM.DIST($A5,$C$4,'Benchmarks by Card Role'!K$42,99,FALSE)</f>
        <v>5.9948118701215553E-2</v>
      </c>
      <c r="BB38">
        <f>_xlfn.HYPGEOM.DIST($A5,$C$4,'Benchmarks by Card Role'!L$42,99,FALSE)</f>
        <v>7.1782177351223789E-2</v>
      </c>
    </row>
    <row r="39" spans="6:54" x14ac:dyDescent="0.25">
      <c r="F39">
        <f>_xlfn.HYPGEOM.DIST($A6,$C$4,'Benchmarks by Card Role'!D$2,99,FALSE)</f>
        <v>0.12352728129250397</v>
      </c>
      <c r="G39">
        <f>_xlfn.HYPGEOM.DIST($A6,$C$4,'Benchmarks by Card Role'!E$2,99,FALSE)</f>
        <v>0.13552707433234726</v>
      </c>
      <c r="H39">
        <f>_xlfn.HYPGEOM.DIST($A6,$C$4,'Benchmarks by Card Role'!F$2,99,FALSE)</f>
        <v>0.14753867122133443</v>
      </c>
      <c r="I39">
        <f>_xlfn.HYPGEOM.DIST($A6,$C$4,'Benchmarks by Card Role'!G$2,99,FALSE)</f>
        <v>0.15943176672283627</v>
      </c>
      <c r="J39">
        <f>_xlfn.HYPGEOM.DIST($A6,$C$4,'Benchmarks by Card Role'!H$2,99,FALSE)</f>
        <v>0.17107470491101792</v>
      </c>
      <c r="K39">
        <f>_xlfn.HYPGEOM.DIST($A6,$C$4,'Benchmarks by Card Role'!I$2,99,FALSE)</f>
        <v>0.18233667608070858</v>
      </c>
      <c r="L39">
        <f>_xlfn.HYPGEOM.DIST($A6,$C$4,'Benchmarks by Card Role'!J$2,99,FALSE)</f>
        <v>0.19308986467008366</v>
      </c>
      <c r="M39">
        <f>_xlfn.HYPGEOM.DIST($A6,$C$4,'Benchmarks by Card Role'!K$2,99,FALSE)</f>
        <v>0.20321151080198355</v>
      </c>
      <c r="N39">
        <f>_xlfn.HYPGEOM.DIST($A6,$C$4,'Benchmarks by Card Role'!L$2,99,FALSE)</f>
        <v>0.2125858513300512</v>
      </c>
      <c r="P39">
        <f>_xlfn.HYPGEOM.DIST($A6,$C$4,'Benchmarks by Card Role'!D$12,99,FALSE)</f>
        <v>1.1879708824240273E-4</v>
      </c>
      <c r="Q39">
        <f>_xlfn.HYPGEOM.DIST($A6,$C$4,'Benchmarks by Card Role'!E$12,99,FALSE)</f>
        <v>2.9613187214048151E-4</v>
      </c>
      <c r="R39">
        <f>_xlfn.HYPGEOM.DIST($A6,$C$4,'Benchmarks by Card Role'!F$12,99,FALSE)</f>
        <v>6.2236506095458334E-4</v>
      </c>
      <c r="S39">
        <f>_xlfn.HYPGEOM.DIST($A6,$C$4,'Benchmarks by Card Role'!G$12,99,FALSE)</f>
        <v>1.1617481137818912E-3</v>
      </c>
      <c r="T39">
        <f>_xlfn.HYPGEOM.DIST($A6,$C$4,'Benchmarks by Card Role'!H$12,99,FALSE)</f>
        <v>1.98628469640986E-3</v>
      </c>
      <c r="U39">
        <f>_xlfn.HYPGEOM.DIST($A6,$C$4,'Benchmarks by Card Role'!I$12,99,FALSE)</f>
        <v>3.1728963332261434E-3</v>
      </c>
      <c r="V39">
        <f>_xlfn.HYPGEOM.DIST($A6,$C$4,'Benchmarks by Card Role'!J$12,99,FALSE)</f>
        <v>4.8003733317343728E-3</v>
      </c>
      <c r="W39">
        <f>_xlfn.HYPGEOM.DIST($A6,$C$4,'Benchmarks by Card Role'!K$12,99,FALSE)</f>
        <v>6.9462766557396643E-3</v>
      </c>
      <c r="X39">
        <f>_xlfn.HYPGEOM.DIST($A6,$C$4,'Benchmarks by Card Role'!L$12,99,FALSE)</f>
        <v>9.6839268671194394E-3</v>
      </c>
      <c r="Z39">
        <f>_xlfn.HYPGEOM.DIST($A6,$C$4,'Benchmarks by Card Role'!D$22,99,FALSE)</f>
        <v>1.1879708824240273E-4</v>
      </c>
      <c r="AA39">
        <f>_xlfn.HYPGEOM.DIST($A6,$C$4,'Benchmarks by Card Role'!E$22,99,FALSE)</f>
        <v>2.9613187214048151E-4</v>
      </c>
      <c r="AB39">
        <f>_xlfn.HYPGEOM.DIST($A6,$C$4,'Benchmarks by Card Role'!F$22,99,FALSE)</f>
        <v>6.2236506095458334E-4</v>
      </c>
      <c r="AC39">
        <f>_xlfn.HYPGEOM.DIST($A6,$C$4,'Benchmarks by Card Role'!G$22,99,FALSE)</f>
        <v>1.1617481137818912E-3</v>
      </c>
      <c r="AD39">
        <f>_xlfn.HYPGEOM.DIST($A6,$C$4,'Benchmarks by Card Role'!H$22,99,FALSE)</f>
        <v>1.98628469640986E-3</v>
      </c>
      <c r="AE39">
        <f>_xlfn.HYPGEOM.DIST($A6,$C$4,'Benchmarks by Card Role'!I$22,99,FALSE)</f>
        <v>3.1728963332261434E-3</v>
      </c>
      <c r="AF39">
        <f>_xlfn.HYPGEOM.DIST($A6,$C$4,'Benchmarks by Card Role'!J$22,99,FALSE)</f>
        <v>4.8003733317343728E-3</v>
      </c>
      <c r="AG39">
        <f>_xlfn.HYPGEOM.DIST($A6,$C$4,'Benchmarks by Card Role'!K$22,99,FALSE)</f>
        <v>6.9462766557396643E-3</v>
      </c>
      <c r="AH39">
        <f>_xlfn.HYPGEOM.DIST($A6,$C$4,'Benchmarks by Card Role'!L$22,99,FALSE)</f>
        <v>9.6839268671194394E-3</v>
      </c>
      <c r="AJ39">
        <f>_xlfn.HYPGEOM.DIST($A6,$C$4,'Benchmarks by Card Role'!D$32,99,FALSE)</f>
        <v>0</v>
      </c>
      <c r="AK39">
        <f>_xlfn.HYPGEOM.DIST($A6,$C$4,'Benchmarks by Card Role'!E$32,99,FALSE)</f>
        <v>0</v>
      </c>
      <c r="AL39">
        <f>_xlfn.HYPGEOM.DIST($A6,$C$4,'Benchmarks by Card Role'!F$32,99,FALSE)</f>
        <v>0</v>
      </c>
      <c r="AM39">
        <f>_xlfn.HYPGEOM.DIST($A6,$C$4,'Benchmarks by Card Role'!G$32,99,FALSE)</f>
        <v>0</v>
      </c>
      <c r="AN39">
        <f>_xlfn.HYPGEOM.DIST($A6,$C$4,'Benchmarks by Card Role'!H$32,99,FALSE)</f>
        <v>0</v>
      </c>
      <c r="AO39">
        <f>_xlfn.HYPGEOM.DIST($A6,$C$4,'Benchmarks by Card Role'!I$32,99,FALSE)</f>
        <v>6.4594475880422726E-6</v>
      </c>
      <c r="AP39">
        <f>_xlfn.HYPGEOM.DIST($A6,$C$4,'Benchmarks by Card Role'!J$32,99,FALSE)</f>
        <v>3.6282854537088466E-5</v>
      </c>
      <c r="AQ39">
        <f>_xlfn.HYPGEOM.DIST($A6,$C$4,'Benchmarks by Card Role'!K$32,99,FALSE)</f>
        <v>1.1879708824240273E-4</v>
      </c>
      <c r="AR39">
        <f>_xlfn.HYPGEOM.DIST($A6,$C$4,'Benchmarks by Card Role'!L$32,99,FALSE)</f>
        <v>2.9613187214048151E-4</v>
      </c>
      <c r="AT39">
        <f>_xlfn.HYPGEOM.DIST($A6,$C$4,'Benchmarks by Card Role'!D$42,99,FALSE)</f>
        <v>6.2236506095458334E-4</v>
      </c>
      <c r="AU39">
        <f>_xlfn.HYPGEOM.DIST($A6,$C$4,'Benchmarks by Card Role'!E$42,99,FALSE)</f>
        <v>1.1617481137818912E-3</v>
      </c>
      <c r="AV39">
        <f>_xlfn.HYPGEOM.DIST($A6,$C$4,'Benchmarks by Card Role'!F$42,99,FALSE)</f>
        <v>1.98628469640986E-3</v>
      </c>
      <c r="AW39">
        <f>_xlfn.HYPGEOM.DIST($A6,$C$4,'Benchmarks by Card Role'!G$42,99,FALSE)</f>
        <v>3.1728963332261434E-3</v>
      </c>
      <c r="AX39">
        <f>_xlfn.HYPGEOM.DIST($A6,$C$4,'Benchmarks by Card Role'!H$42,99,FALSE)</f>
        <v>4.8003733317343728E-3</v>
      </c>
      <c r="AY39">
        <f>_xlfn.HYPGEOM.DIST($A6,$C$4,'Benchmarks by Card Role'!I$42,99,FALSE)</f>
        <v>6.9462766557396643E-3</v>
      </c>
      <c r="AZ39">
        <f>_xlfn.HYPGEOM.DIST($A6,$C$4,'Benchmarks by Card Role'!J$42,99,FALSE)</f>
        <v>9.6839268671194394E-3</v>
      </c>
      <c r="BA39">
        <f>_xlfn.HYPGEOM.DIST($A6,$C$4,'Benchmarks by Card Role'!K$42,99,FALSE)</f>
        <v>1.307958953481066E-2</v>
      </c>
      <c r="BB39">
        <f>_xlfn.HYPGEOM.DIST($A6,$C$4,'Benchmarks by Card Role'!L$42,99,FALSE)</f>
        <v>1.7189942470950934E-2</v>
      </c>
    </row>
    <row r="40" spans="6:54" x14ac:dyDescent="0.25">
      <c r="F40">
        <f>_xlfn.HYPGEOM.DIST($A7,$C$4,'Benchmarks by Card Role'!D$2,99,FALSE)</f>
        <v>4.5610073092616887E-2</v>
      </c>
      <c r="G40">
        <f>_xlfn.HYPGEOM.DIST($A7,$C$4,'Benchmarks by Card Role'!E$2,99,FALSE)</f>
        <v>5.2940263411073094E-2</v>
      </c>
      <c r="H40">
        <f>_xlfn.HYPGEOM.DIST($A7,$C$4,'Benchmarks by Card Role'!F$2,99,FALSE)</f>
        <v>6.0888975424677756E-2</v>
      </c>
      <c r="I40">
        <f>_xlfn.HYPGEOM.DIST($A7,$C$4,'Benchmarks by Card Role'!G$2,99,FALSE)</f>
        <v>6.9429962927686759E-2</v>
      </c>
      <c r="J40">
        <f>_xlfn.HYPGEOM.DIST($A7,$C$4,'Benchmarks by Card Role'!H$2,99,FALSE)</f>
        <v>7.8526094057516455E-2</v>
      </c>
      <c r="K40">
        <f>_xlfn.HYPGEOM.DIST($A7,$C$4,'Benchmarks by Card Role'!I$2,99,FALSE)</f>
        <v>8.8129393439009246E-2</v>
      </c>
      <c r="L40">
        <f>_xlfn.HYPGEOM.DIST($A7,$C$4,'Benchmarks by Card Role'!J$2,99,FALSE)</f>
        <v>9.8181287120381572E-2</v>
      </c>
      <c r="M40">
        <f>_xlfn.HYPGEOM.DIST($A7,$C$4,'Benchmarks by Card Role'!K$2,99,FALSE)</f>
        <v>0.10861304887692229</v>
      </c>
      <c r="N40">
        <f>_xlfn.HYPGEOM.DIST($A7,$C$4,'Benchmarks by Card Role'!L$2,99,FALSE)</f>
        <v>0.11934644285195854</v>
      </c>
      <c r="P40">
        <f>_xlfn.HYPGEOM.DIST($A7,$C$4,'Benchmarks by Card Role'!D$12,99,FALSE)</f>
        <v>2.7309675458023588E-6</v>
      </c>
      <c r="Q40">
        <f>_xlfn.HYPGEOM.DIST($A7,$C$4,'Benchmarks by Card Role'!E$12,99,FALSE)</f>
        <v>1.0330181586295885E-5</v>
      </c>
      <c r="R40">
        <f>_xlfn.HYPGEOM.DIST($A7,$C$4,'Benchmarks by Card Role'!F$12,99,FALSE)</f>
        <v>2.9287767574333394E-5</v>
      </c>
      <c r="S40">
        <f>_xlfn.HYPGEOM.DIST($A7,$C$4,'Benchmarks by Card Role'!G$12,99,FALSE)</f>
        <v>6.915167343939823E-5</v>
      </c>
      <c r="T40">
        <f>_xlfn.HYPGEOM.DIST($A7,$C$4,'Benchmarks by Card Role'!H$12,99,FALSE)</f>
        <v>1.4358684552360487E-4</v>
      </c>
      <c r="U40">
        <f>_xlfn.HYPGEOM.DIST($A7,$C$4,'Benchmarks by Card Role'!I$12,99,FALSE)</f>
        <v>2.7085700405588995E-4</v>
      </c>
      <c r="V40">
        <f>_xlfn.HYPGEOM.DIST($A7,$C$4,'Benchmarks by Card Role'!J$12,99,FALSE)</f>
        <v>4.7411094634413633E-4</v>
      </c>
      <c r="W40">
        <f>_xlfn.HYPGEOM.DIST($A7,$C$4,'Benchmarks by Card Role'!K$12,99,FALSE)</f>
        <v>7.8145612377071431E-4</v>
      </c>
      <c r="X40">
        <f>_xlfn.HYPGEOM.DIST($A7,$C$4,'Benchmarks by Card Role'!L$12,99,FALSE)</f>
        <v>1.225813527483473E-3</v>
      </c>
      <c r="Z40">
        <f>_xlfn.HYPGEOM.DIST($A7,$C$4,'Benchmarks by Card Role'!D$22,99,FALSE)</f>
        <v>2.7309675458023588E-6</v>
      </c>
      <c r="AA40">
        <f>_xlfn.HYPGEOM.DIST($A7,$C$4,'Benchmarks by Card Role'!E$22,99,FALSE)</f>
        <v>1.0330181586295885E-5</v>
      </c>
      <c r="AB40">
        <f>_xlfn.HYPGEOM.DIST($A7,$C$4,'Benchmarks by Card Role'!F$22,99,FALSE)</f>
        <v>2.9287767574333394E-5</v>
      </c>
      <c r="AC40">
        <f>_xlfn.HYPGEOM.DIST($A7,$C$4,'Benchmarks by Card Role'!G$22,99,FALSE)</f>
        <v>6.915167343939823E-5</v>
      </c>
      <c r="AD40">
        <f>_xlfn.HYPGEOM.DIST($A7,$C$4,'Benchmarks by Card Role'!H$22,99,FALSE)</f>
        <v>1.4358684552360487E-4</v>
      </c>
      <c r="AE40">
        <f>_xlfn.HYPGEOM.DIST($A7,$C$4,'Benchmarks by Card Role'!I$22,99,FALSE)</f>
        <v>2.7085700405588995E-4</v>
      </c>
      <c r="AF40">
        <f>_xlfn.HYPGEOM.DIST($A7,$C$4,'Benchmarks by Card Role'!J$22,99,FALSE)</f>
        <v>4.7411094634413633E-4</v>
      </c>
      <c r="AG40">
        <f>_xlfn.HYPGEOM.DIST($A7,$C$4,'Benchmarks by Card Role'!K$22,99,FALSE)</f>
        <v>7.8145612377071431E-4</v>
      </c>
      <c r="AH40">
        <f>_xlfn.HYPGEOM.DIST($A7,$C$4,'Benchmarks by Card Role'!L$22,99,FALSE)</f>
        <v>1.225813527483473E-3</v>
      </c>
      <c r="AJ40">
        <f>_xlfn.HYPGEOM.DIST($A7,$C$4,'Benchmarks by Card Role'!D$32,99,FALSE)</f>
        <v>0</v>
      </c>
      <c r="AK40">
        <f>_xlfn.HYPGEOM.DIST($A7,$C$4,'Benchmarks by Card Role'!E$32,99,FALSE)</f>
        <v>0</v>
      </c>
      <c r="AL40">
        <f>_xlfn.HYPGEOM.DIST($A7,$C$4,'Benchmarks by Card Role'!F$32,99,FALSE)</f>
        <v>0</v>
      </c>
      <c r="AM40">
        <f>_xlfn.HYPGEOM.DIST($A7,$C$4,'Benchmarks by Card Role'!G$32,99,FALSE)</f>
        <v>0</v>
      </c>
      <c r="AN40">
        <f>_xlfn.HYPGEOM.DIST($A7,$C$4,'Benchmarks by Card Role'!H$32,99,FALSE)</f>
        <v>0</v>
      </c>
      <c r="AO40">
        <f>_xlfn.HYPGEOM.DIST($A7,$C$4,'Benchmarks by Card Role'!I$32,99,FALSE)</f>
        <v>0</v>
      </c>
      <c r="AP40">
        <f>_xlfn.HYPGEOM.DIST($A7,$C$4,'Benchmarks by Card Role'!J$32,99,FALSE)</f>
        <v>4.1230516519418728E-7</v>
      </c>
      <c r="AQ40">
        <f>_xlfn.HYPGEOM.DIST($A7,$C$4,'Benchmarks by Card Role'!K$32,99,FALSE)</f>
        <v>2.7309675458023588E-6</v>
      </c>
      <c r="AR40">
        <f>_xlfn.HYPGEOM.DIST($A7,$C$4,'Benchmarks by Card Role'!L$32,99,FALSE)</f>
        <v>1.0330181586295885E-5</v>
      </c>
      <c r="AT40">
        <f>_xlfn.HYPGEOM.DIST($A7,$C$4,'Benchmarks by Card Role'!D$42,99,FALSE)</f>
        <v>2.9287767574333394E-5</v>
      </c>
      <c r="AU40">
        <f>_xlfn.HYPGEOM.DIST($A7,$C$4,'Benchmarks by Card Role'!E$42,99,FALSE)</f>
        <v>6.915167343939823E-5</v>
      </c>
      <c r="AV40">
        <f>_xlfn.HYPGEOM.DIST($A7,$C$4,'Benchmarks by Card Role'!F$42,99,FALSE)</f>
        <v>1.4358684552360487E-4</v>
      </c>
      <c r="AW40">
        <f>_xlfn.HYPGEOM.DIST($A7,$C$4,'Benchmarks by Card Role'!G$42,99,FALSE)</f>
        <v>2.7085700405588995E-4</v>
      </c>
      <c r="AX40">
        <f>_xlfn.HYPGEOM.DIST($A7,$C$4,'Benchmarks by Card Role'!H$42,99,FALSE)</f>
        <v>4.7411094634413633E-4</v>
      </c>
      <c r="AY40">
        <f>_xlfn.HYPGEOM.DIST($A7,$C$4,'Benchmarks by Card Role'!I$42,99,FALSE)</f>
        <v>7.8145612377071431E-4</v>
      </c>
      <c r="AZ40">
        <f>_xlfn.HYPGEOM.DIST($A7,$C$4,'Benchmarks by Card Role'!J$42,99,FALSE)</f>
        <v>1.225813527483473E-3</v>
      </c>
      <c r="BA40">
        <f>_xlfn.HYPGEOM.DIST($A7,$C$4,'Benchmarks by Card Role'!K$42,99,FALSE)</f>
        <v>1.8445574984989393E-3</v>
      </c>
      <c r="BB40">
        <f>_xlfn.HYPGEOM.DIST($A7,$C$4,'Benchmarks by Card Role'!L$42,99,FALSE)</f>
        <v>2.6789520733949508E-3</v>
      </c>
    </row>
    <row r="41" spans="6:54" x14ac:dyDescent="0.25">
      <c r="F41">
        <f>_xlfn.HYPGEOM.DIST($A8,$C$4,'Benchmarks by Card Role'!D$2,99,FALSE)</f>
        <v>1.1353156722188208E-2</v>
      </c>
      <c r="G41">
        <f>_xlfn.HYPGEOM.DIST($A8,$C$4,'Benchmarks by Card Role'!E$2,99,FALSE)</f>
        <v>1.3962267273250058E-2</v>
      </c>
      <c r="H41">
        <f>_xlfn.HYPGEOM.DIST($A8,$C$4,'Benchmarks by Card Role'!F$2,99,FALSE)</f>
        <v>1.6989111446617695E-2</v>
      </c>
      <c r="I41">
        <f>_xlfn.HYPGEOM.DIST($A8,$C$4,'Benchmarks by Card Role'!G$2,99,FALSE)</f>
        <v>2.0466882495690002E-2</v>
      </c>
      <c r="J41">
        <f>_xlfn.HYPGEOM.DIST($A8,$C$4,'Benchmarks by Card Role'!H$2,99,FALSE)</f>
        <v>2.442631958010304E-2</v>
      </c>
      <c r="K41">
        <f>_xlfn.HYPGEOM.DIST($A8,$C$4,'Benchmarks by Card Role'!I$2,99,FALSE)</f>
        <v>2.8894883094757139E-2</v>
      </c>
      <c r="L41">
        <f>_xlfn.HYPGEOM.DIST($A8,$C$4,'Benchmarks by Card Role'!J$2,99,FALSE)</f>
        <v>3.3895920553465124E-2</v>
      </c>
      <c r="M41">
        <f>_xlfn.HYPGEOM.DIST($A8,$C$4,'Benchmarks by Card Role'!K$2,99,FALSE)</f>
        <v>3.9447838575153396E-2</v>
      </c>
      <c r="N41">
        <f>_xlfn.HYPGEOM.DIST($A8,$C$4,'Benchmarks by Card Role'!L$2,99,FALSE)</f>
        <v>4.5563297147915252E-2</v>
      </c>
      <c r="P41">
        <f>_xlfn.HYPGEOM.DIST($A8,$C$4,'Benchmarks by Card Role'!D$12,99,FALSE)</f>
        <v>2.2166944365278864E-8</v>
      </c>
      <c r="Q41">
        <f>_xlfn.HYPGEOM.DIST($A8,$C$4,'Benchmarks by Card Role'!E$12,99,FALSE)</f>
        <v>1.6962531340387292E-7</v>
      </c>
      <c r="R41">
        <f>_xlfn.HYPGEOM.DIST($A8,$C$4,'Benchmarks by Card Role'!F$12,99,FALSE)</f>
        <v>7.2976165052325873E-7</v>
      </c>
      <c r="S41">
        <f>_xlfn.HYPGEOM.DIST($A8,$C$4,'Benchmarks by Card Role'!G$12,99,FALSE)</f>
        <v>2.3244259979629696E-6</v>
      </c>
      <c r="T41">
        <f>_xlfn.HYPGEOM.DIST($A8,$C$4,'Benchmarks by Card Role'!H$12,99,FALSE)</f>
        <v>6.104882887908365E-6</v>
      </c>
      <c r="U41">
        <f>_xlfn.HYPGEOM.DIST($A8,$C$4,'Benchmarks by Card Role'!I$12,99,FALSE)</f>
        <v>1.3985731706844606E-5</v>
      </c>
      <c r="V41">
        <f>_xlfn.HYPGEOM.DIST($A8,$C$4,'Benchmarks by Card Role'!J$12,99,FALSE)</f>
        <v>2.8909204045374195E-5</v>
      </c>
      <c r="W41">
        <f>_xlfn.HYPGEOM.DIST($A8,$C$4,'Benchmarks by Card Role'!K$12,99,FALSE)</f>
        <v>5.5129179807457721E-5</v>
      </c>
      <c r="X41">
        <f>_xlfn.HYPGEOM.DIST($A8,$C$4,'Benchmarks by Card Role'!L$12,99,FALSE)</f>
        <v>9.8502872744207551E-5</v>
      </c>
      <c r="Z41">
        <f>_xlfn.HYPGEOM.DIST($A8,$C$4,'Benchmarks by Card Role'!D$22,99,FALSE)</f>
        <v>2.2166944365278864E-8</v>
      </c>
      <c r="AA41">
        <f>_xlfn.HYPGEOM.DIST($A8,$C$4,'Benchmarks by Card Role'!E$22,99,FALSE)</f>
        <v>1.6962531340387292E-7</v>
      </c>
      <c r="AB41">
        <f>_xlfn.HYPGEOM.DIST($A8,$C$4,'Benchmarks by Card Role'!F$22,99,FALSE)</f>
        <v>7.2976165052325873E-7</v>
      </c>
      <c r="AC41">
        <f>_xlfn.HYPGEOM.DIST($A8,$C$4,'Benchmarks by Card Role'!G$22,99,FALSE)</f>
        <v>2.3244259979629696E-6</v>
      </c>
      <c r="AD41">
        <f>_xlfn.HYPGEOM.DIST($A8,$C$4,'Benchmarks by Card Role'!H$22,99,FALSE)</f>
        <v>6.104882887908365E-6</v>
      </c>
      <c r="AE41">
        <f>_xlfn.HYPGEOM.DIST($A8,$C$4,'Benchmarks by Card Role'!I$22,99,FALSE)</f>
        <v>1.3985731706844606E-5</v>
      </c>
      <c r="AF41">
        <f>_xlfn.HYPGEOM.DIST($A8,$C$4,'Benchmarks by Card Role'!J$22,99,FALSE)</f>
        <v>2.8909204045374195E-5</v>
      </c>
      <c r="AG41">
        <f>_xlfn.HYPGEOM.DIST($A8,$C$4,'Benchmarks by Card Role'!K$22,99,FALSE)</f>
        <v>5.5129179807457721E-5</v>
      </c>
      <c r="AH41">
        <f>_xlfn.HYPGEOM.DIST($A8,$C$4,'Benchmarks by Card Role'!L$22,99,FALSE)</f>
        <v>9.8502872744207551E-5</v>
      </c>
      <c r="AJ41">
        <f>_xlfn.HYPGEOM.DIST($A8,$C$4,'Benchmarks by Card Role'!D$32,99,FALSE)</f>
        <v>0</v>
      </c>
      <c r="AK41">
        <f>_xlfn.HYPGEOM.DIST($A8,$C$4,'Benchmarks by Card Role'!E$32,99,FALSE)</f>
        <v>0</v>
      </c>
      <c r="AL41">
        <f>_xlfn.HYPGEOM.DIST($A8,$C$4,'Benchmarks by Card Role'!F$32,99,FALSE)</f>
        <v>0</v>
      </c>
      <c r="AM41">
        <f>_xlfn.HYPGEOM.DIST($A8,$C$4,'Benchmarks by Card Role'!G$32,99,FALSE)</f>
        <v>0</v>
      </c>
      <c r="AN41">
        <f>_xlfn.HYPGEOM.DIST($A8,$C$4,'Benchmarks by Card Role'!H$32,99,FALSE)</f>
        <v>0</v>
      </c>
      <c r="AO41">
        <f>_xlfn.HYPGEOM.DIST($A8,$C$4,'Benchmarks by Card Role'!I$32,99,FALSE)</f>
        <v>0</v>
      </c>
      <c r="AP41">
        <f>_xlfn.HYPGEOM.DIST($A8,$C$4,'Benchmarks by Card Role'!J$32,99,FALSE)</f>
        <v>0</v>
      </c>
      <c r="AQ41">
        <f>_xlfn.HYPGEOM.DIST($A8,$C$4,'Benchmarks by Card Role'!K$32,99,FALSE)</f>
        <v>2.2166944365278864E-8</v>
      </c>
      <c r="AR41">
        <f>_xlfn.HYPGEOM.DIST($A8,$C$4,'Benchmarks by Card Role'!L$32,99,FALSE)</f>
        <v>1.6962531340387292E-7</v>
      </c>
      <c r="AT41">
        <f>_xlfn.HYPGEOM.DIST($A8,$C$4,'Benchmarks by Card Role'!D$42,99,FALSE)</f>
        <v>7.2976165052325873E-7</v>
      </c>
      <c r="AU41">
        <f>_xlfn.HYPGEOM.DIST($A8,$C$4,'Benchmarks by Card Role'!E$42,99,FALSE)</f>
        <v>2.3244259979629696E-6</v>
      </c>
      <c r="AV41">
        <f>_xlfn.HYPGEOM.DIST($A8,$C$4,'Benchmarks by Card Role'!F$42,99,FALSE)</f>
        <v>6.104882887908365E-6</v>
      </c>
      <c r="AW41">
        <f>_xlfn.HYPGEOM.DIST($A8,$C$4,'Benchmarks by Card Role'!G$42,99,FALSE)</f>
        <v>1.3985731706844606E-5</v>
      </c>
      <c r="AX41">
        <f>_xlfn.HYPGEOM.DIST($A8,$C$4,'Benchmarks by Card Role'!H$42,99,FALSE)</f>
        <v>2.8909204045374195E-5</v>
      </c>
      <c r="AY41">
        <f>_xlfn.HYPGEOM.DIST($A8,$C$4,'Benchmarks by Card Role'!I$42,99,FALSE)</f>
        <v>5.5129179807457721E-5</v>
      </c>
      <c r="AZ41">
        <f>_xlfn.HYPGEOM.DIST($A8,$C$4,'Benchmarks by Card Role'!J$42,99,FALSE)</f>
        <v>9.8502872744207551E-5</v>
      </c>
      <c r="BA41">
        <f>_xlfn.HYPGEOM.DIST($A8,$C$4,'Benchmarks by Card Role'!K$42,99,FALSE)</f>
        <v>1.6677735067802357E-4</v>
      </c>
      <c r="BB41">
        <f>_xlfn.HYPGEOM.DIST($A8,$C$4,'Benchmarks by Card Role'!L$42,99,FALSE)</f>
        <v>2.6985780959106652E-4</v>
      </c>
    </row>
    <row r="42" spans="6:54" x14ac:dyDescent="0.25">
      <c r="F42">
        <f>_xlfn.HYPGEOM.DIST($A9,$C$4,'Benchmarks by Card Role'!D$2,99,FALSE)</f>
        <v>1.8639511036428345E-3</v>
      </c>
      <c r="G42">
        <f>_xlfn.HYPGEOM.DIST($A9,$C$4,'Benchmarks by Card Role'!E$2,99,FALSE)</f>
        <v>2.4328192976117561E-3</v>
      </c>
      <c r="H42">
        <f>_xlfn.HYPGEOM.DIST($A9,$C$4,'Benchmarks by Card Role'!F$2,99,FALSE)</f>
        <v>3.1364513439909578E-3</v>
      </c>
      <c r="I42">
        <f>_xlfn.HYPGEOM.DIST($A9,$C$4,'Benchmarks by Card Role'!G$2,99,FALSE)</f>
        <v>3.9974379874394526E-3</v>
      </c>
      <c r="J42">
        <f>_xlfn.HYPGEOM.DIST($A9,$C$4,'Benchmarks by Card Role'!H$2,99,FALSE)</f>
        <v>5.0403516593863495E-3</v>
      </c>
      <c r="K42">
        <f>_xlfn.HYPGEOM.DIST($A9,$C$4,'Benchmarks by Card Role'!I$2,99,FALSE)</f>
        <v>6.29162777063261E-3</v>
      </c>
      <c r="L42">
        <f>_xlfn.HYPGEOM.DIST($A9,$C$4,'Benchmarks by Card Role'!J$2,99,FALSE)</f>
        <v>7.7793916024346274E-3</v>
      </c>
      <c r="M42">
        <f>_xlfn.HYPGEOM.DIST($A9,$C$4,'Benchmarks by Card Role'!K$2,99,FALSE)</f>
        <v>9.5332276556620559E-3</v>
      </c>
      <c r="N42">
        <f>_xlfn.HYPGEOM.DIST($A9,$C$4,'Benchmarks by Card Role'!L$2,99,FALSE)</f>
        <v>1.1583889105402173E-2</v>
      </c>
      <c r="P42">
        <f>_xlfn.HYPGEOM.DIST($A9,$C$4,'Benchmarks by Card Role'!D$12,99,FALSE)</f>
        <v>0</v>
      </c>
      <c r="Q42">
        <f>_xlfn.HYPGEOM.DIST($A9,$C$4,'Benchmarks by Card Role'!E$12,99,FALSE)</f>
        <v>9.637801897947349E-10</v>
      </c>
      <c r="R42">
        <f>_xlfn.HYPGEOM.DIST($A9,$C$4,'Benchmarks by Card Role'!F$12,99,FALSE)</f>
        <v>8.3880649485431699E-9</v>
      </c>
      <c r="S42">
        <f>_xlfn.HYPGEOM.DIST($A9,$C$4,'Benchmarks by Card Role'!G$12,99,FALSE)</f>
        <v>4.0542313917958898E-8</v>
      </c>
      <c r="T42">
        <f>_xlfn.HYPGEOM.DIST($A9,$C$4,'Benchmarks by Card Role'!H$12,99,FALSE)</f>
        <v>1.4364430324490274E-7</v>
      </c>
      <c r="U42">
        <f>_xlfn.HYPGEOM.DIST($A9,$C$4,'Benchmarks by Card Role'!I$12,99,FALSE)</f>
        <v>4.1624201508466092E-7</v>
      </c>
      <c r="V42">
        <f>_xlfn.HYPGEOM.DIST($A9,$C$4,'Benchmarks by Card Role'!J$12,99,FALSE)</f>
        <v>1.0449109895918377E-6</v>
      </c>
      <c r="W42">
        <f>_xlfn.HYPGEOM.DIST($A9,$C$4,'Benchmarks by Card Role'!K$12,99,FALSE)</f>
        <v>2.353074747879293E-6</v>
      </c>
      <c r="X42">
        <f>_xlfn.HYPGEOM.DIST($A9,$C$4,'Benchmarks by Card Role'!L$12,99,FALSE)</f>
        <v>4.8643393947756845E-6</v>
      </c>
      <c r="Z42">
        <f>_xlfn.HYPGEOM.DIST($A9,$C$4,'Benchmarks by Card Role'!D$22,99,FALSE)</f>
        <v>0</v>
      </c>
      <c r="AA42">
        <f>_xlfn.HYPGEOM.DIST($A9,$C$4,'Benchmarks by Card Role'!E$22,99,FALSE)</f>
        <v>9.637801897947349E-10</v>
      </c>
      <c r="AB42">
        <f>_xlfn.HYPGEOM.DIST($A9,$C$4,'Benchmarks by Card Role'!F$22,99,FALSE)</f>
        <v>8.3880649485431699E-9</v>
      </c>
      <c r="AC42">
        <f>_xlfn.HYPGEOM.DIST($A9,$C$4,'Benchmarks by Card Role'!G$22,99,FALSE)</f>
        <v>4.0542313917958898E-8</v>
      </c>
      <c r="AD42">
        <f>_xlfn.HYPGEOM.DIST($A9,$C$4,'Benchmarks by Card Role'!H$22,99,FALSE)</f>
        <v>1.4364430324490274E-7</v>
      </c>
      <c r="AE42">
        <f>_xlfn.HYPGEOM.DIST($A9,$C$4,'Benchmarks by Card Role'!I$22,99,FALSE)</f>
        <v>4.1624201508466092E-7</v>
      </c>
      <c r="AF42">
        <f>_xlfn.HYPGEOM.DIST($A9,$C$4,'Benchmarks by Card Role'!J$22,99,FALSE)</f>
        <v>1.0449109895918377E-6</v>
      </c>
      <c r="AG42">
        <f>_xlfn.HYPGEOM.DIST($A9,$C$4,'Benchmarks by Card Role'!K$22,99,FALSE)</f>
        <v>2.353074747879293E-6</v>
      </c>
      <c r="AH42">
        <f>_xlfn.HYPGEOM.DIST($A9,$C$4,'Benchmarks by Card Role'!L$22,99,FALSE)</f>
        <v>4.8643393947756845E-6</v>
      </c>
      <c r="AJ42">
        <f>_xlfn.HYPGEOM.DIST($A9,$C$4,'Benchmarks by Card Role'!D$32,99,FALSE)</f>
        <v>0</v>
      </c>
      <c r="AK42">
        <f>_xlfn.HYPGEOM.DIST($A9,$C$4,'Benchmarks by Card Role'!E$32,99,FALSE)</f>
        <v>0</v>
      </c>
      <c r="AL42">
        <f>_xlfn.HYPGEOM.DIST($A9,$C$4,'Benchmarks by Card Role'!F$32,99,FALSE)</f>
        <v>0</v>
      </c>
      <c r="AM42">
        <f>_xlfn.HYPGEOM.DIST($A9,$C$4,'Benchmarks by Card Role'!G$32,99,FALSE)</f>
        <v>0</v>
      </c>
      <c r="AN42">
        <f>_xlfn.HYPGEOM.DIST($A9,$C$4,'Benchmarks by Card Role'!H$32,99,FALSE)</f>
        <v>0</v>
      </c>
      <c r="AO42">
        <f>_xlfn.HYPGEOM.DIST($A9,$C$4,'Benchmarks by Card Role'!I$32,99,FALSE)</f>
        <v>0</v>
      </c>
      <c r="AP42">
        <f>_xlfn.HYPGEOM.DIST($A9,$C$4,'Benchmarks by Card Role'!J$32,99,FALSE)</f>
        <v>0</v>
      </c>
      <c r="AQ42">
        <f>_xlfn.HYPGEOM.DIST($A9,$C$4,'Benchmarks by Card Role'!K$32,99,FALSE)</f>
        <v>0</v>
      </c>
      <c r="AR42">
        <f>_xlfn.HYPGEOM.DIST($A9,$C$4,'Benchmarks by Card Role'!L$32,99,FALSE)</f>
        <v>9.637801897947349E-10</v>
      </c>
      <c r="AT42">
        <f>_xlfn.HYPGEOM.DIST($A9,$C$4,'Benchmarks by Card Role'!D$42,99,FALSE)</f>
        <v>8.3880649485431699E-9</v>
      </c>
      <c r="AU42">
        <f>_xlfn.HYPGEOM.DIST($A9,$C$4,'Benchmarks by Card Role'!E$42,99,FALSE)</f>
        <v>4.0542313917958898E-8</v>
      </c>
      <c r="AV42">
        <f>_xlfn.HYPGEOM.DIST($A9,$C$4,'Benchmarks by Card Role'!F$42,99,FALSE)</f>
        <v>1.4364430324490274E-7</v>
      </c>
      <c r="AW42">
        <f>_xlfn.HYPGEOM.DIST($A9,$C$4,'Benchmarks by Card Role'!G$42,99,FALSE)</f>
        <v>4.1624201508466092E-7</v>
      </c>
      <c r="AX42">
        <f>_xlfn.HYPGEOM.DIST($A9,$C$4,'Benchmarks by Card Role'!H$42,99,FALSE)</f>
        <v>1.0449109895918377E-6</v>
      </c>
      <c r="AY42">
        <f>_xlfn.HYPGEOM.DIST($A9,$C$4,'Benchmarks by Card Role'!I$42,99,FALSE)</f>
        <v>2.353074747879293E-6</v>
      </c>
      <c r="AZ42">
        <f>_xlfn.HYPGEOM.DIST($A9,$C$4,'Benchmarks by Card Role'!J$42,99,FALSE)</f>
        <v>4.8643393947756845E-6</v>
      </c>
      <c r="BA42">
        <f>_xlfn.HYPGEOM.DIST($A9,$C$4,'Benchmarks by Card Role'!K$42,99,FALSE)</f>
        <v>9.3812259756388161E-6</v>
      </c>
      <c r="BB42">
        <f>_xlfn.HYPGEOM.DIST($A9,$C$4,'Benchmarks by Card Role'!L$42,99,FALSE)</f>
        <v>1.7079608201966268E-5</v>
      </c>
    </row>
    <row r="43" spans="6:54" x14ac:dyDescent="0.25">
      <c r="F43">
        <f>SUM(F34*$A$1,F35*$A$2,F36*$A$3,F37*$A$4,F38*$A$5,F39*$A$6,F40*$A$7,F41*$A$8,F42*$A$9)</f>
        <v>3.2203810739304646</v>
      </c>
      <c r="G43">
        <f t="shared" ref="G43" si="48">SUM(G34*$A$1,G35*$A$2,G36*$A$3,G37*$A$4,G38*$A$5,G39*$A$6,G40*$A$7,G41*$A$8,G42*$A$9)</f>
        <v>3.3307675913592845</v>
      </c>
      <c r="H43">
        <f t="shared" ref="H43" si="49">SUM(H34*$A$1,H35*$A$2,H36*$A$3,H37*$A$4,H38*$A$5,H39*$A$6,H40*$A$7,H41*$A$8,H42*$A$9)</f>
        <v>3.4409187731208148</v>
      </c>
      <c r="I43">
        <f t="shared" ref="I43" si="50">SUM(I34*$A$1,I35*$A$2,I36*$A$3,I37*$A$4,I38*$A$5,I39*$A$6,I40*$A$7,I41*$A$8,I42*$A$9)</f>
        <v>3.5507734609481516</v>
      </c>
      <c r="J43">
        <f t="shared" ref="J43" si="51">SUM(J34*$A$1,J35*$A$2,J36*$A$3,J37*$A$4,J38*$A$5,J39*$A$6,J40*$A$7,J41*$A$8,J42*$A$9)</f>
        <v>3.660258466077571</v>
      </c>
      <c r="K43">
        <f t="shared" ref="K43" si="52">SUM(K34*$A$1,K35*$A$2,K36*$A$3,K37*$A$4,K38*$A$5,K39*$A$6,K40*$A$7,K41*$A$8,K42*$A$9)</f>
        <v>3.769286993078059</v>
      </c>
      <c r="L43">
        <f t="shared" ref="L43" si="53">SUM(L34*$A$1,L35*$A$2,L36*$A$3,L37*$A$4,L38*$A$5,L39*$A$6,L40*$A$7,L41*$A$8,L42*$A$9)</f>
        <v>3.8777569872964914</v>
      </c>
      <c r="M43">
        <f t="shared" ref="M43" si="54">SUM(M34*$A$1,M35*$A$2,M36*$A$3,M37*$A$4,M38*$A$5,M39*$A$6,M40*$A$7,M41*$A$8,M42*$A$9)</f>
        <v>3.9855494216011698</v>
      </c>
      <c r="N43">
        <f t="shared" ref="N43" si="55">SUM(N34*$A$1,N35*$A$2,N36*$A$3,N37*$A$4,N38*$A$5,N39*$A$6,N40*$A$7,N41*$A$8,N42*$A$9)</f>
        <v>4.0925265412672394</v>
      </c>
      <c r="P43">
        <f>SUM(P34*$A$1,P35*$A$2,P36*$A$3,P37*$A$4,P38*$A$5,P39*$A$6,P40*$A$7,P41*$A$8,P42*$A$9)</f>
        <v>0.77777777777777779</v>
      </c>
      <c r="Q43">
        <f t="shared" ref="Q43" si="56">SUM(Q34*$A$1,Q35*$A$2,Q36*$A$3,Q37*$A$4,Q38*$A$5,Q39*$A$6,Q40*$A$7,Q41*$A$8,Q42*$A$9)</f>
        <v>0.88888888888888873</v>
      </c>
      <c r="R43">
        <f t="shared" ref="R43" si="57">SUM(R34*$A$1,R35*$A$2,R36*$A$3,R37*$A$4,R38*$A$5,R39*$A$6,R40*$A$7,R41*$A$8,R42*$A$9)</f>
        <v>0.99999999971404363</v>
      </c>
      <c r="S43">
        <f t="shared" ref="S43" si="58">SUM(S34*$A$1,S35*$A$2,S36*$A$3,S37*$A$4,S38*$A$5,S39*$A$6,S40*$A$7,S41*$A$8,S42*$A$9)</f>
        <v>1.1111111083080292</v>
      </c>
      <c r="T43">
        <f t="shared" ref="T43" si="59">SUM(T34*$A$1,T35*$A$2,T36*$A$3,T37*$A$4,T38*$A$5,T39*$A$6,T40*$A$7,T41*$A$8,T42*$A$9)</f>
        <v>1.2222222071127979</v>
      </c>
      <c r="U43">
        <f t="shared" ref="U43" si="60">SUM(U34*$A$1,U35*$A$2,U36*$A$3,U37*$A$4,U38*$A$5,U39*$A$6,U40*$A$7,U41*$A$8,U42*$A$9)</f>
        <v>1.3333332741131758</v>
      </c>
      <c r="V43">
        <f t="shared" ref="V43" si="61">SUM(V34*$A$1,V35*$A$2,V36*$A$3,V37*$A$4,V38*$A$5,V39*$A$6,V40*$A$7,V41*$A$8,V42*$A$9)</f>
        <v>1.4444442558951083</v>
      </c>
      <c r="W43">
        <f t="shared" ref="W43:X43" si="62">SUM(W34*$A$1,W35*$A$2,W36*$A$3,W37*$A$4,W38*$A$5,W39*$A$6,W40*$A$7,W41*$A$8,W42*$A$9)</f>
        <v>1.555555038468353</v>
      </c>
      <c r="X43">
        <f t="shared" si="62"/>
        <v>1.6666654007901178</v>
      </c>
      <c r="Z43">
        <f>SUM(Z34*$A$1,Z35*$A$2,Z36*$A$3,Z37*$A$4,Z38*$A$5,Z39*$A$6,Z40*$A$7,Z41*$A$8,Z42*$A$9)</f>
        <v>0.77777777777777779</v>
      </c>
      <c r="AA43">
        <f t="shared" ref="AA43:AH43" si="63">SUM(AA34*$A$1,AA35*$A$2,AA36*$A$3,AA37*$A$4,AA38*$A$5,AA39*$A$6,AA40*$A$7,AA41*$A$8,AA42*$A$9)</f>
        <v>0.88888888888888873</v>
      </c>
      <c r="AB43">
        <f t="shared" si="63"/>
        <v>0.99999999971404363</v>
      </c>
      <c r="AC43">
        <f t="shared" si="63"/>
        <v>1.1111111083080292</v>
      </c>
      <c r="AD43">
        <f t="shared" si="63"/>
        <v>1.2222222071127979</v>
      </c>
      <c r="AE43">
        <f t="shared" si="63"/>
        <v>1.3333332741131758</v>
      </c>
      <c r="AF43">
        <f t="shared" si="63"/>
        <v>1.4444442558951083</v>
      </c>
      <c r="AG43">
        <f t="shared" si="63"/>
        <v>1.555555038468353</v>
      </c>
      <c r="AH43">
        <f t="shared" si="63"/>
        <v>1.6666654007901178</v>
      </c>
      <c r="AJ43">
        <f>SUM(AJ34*$A$1,AJ35*$A$2,AJ36*$A$3,AJ37*$A$4,AJ38*$A$5,AJ39*$A$6,AJ40*$A$7,AJ41*$A$8,AJ42*$A$9)</f>
        <v>0</v>
      </c>
      <c r="AK43">
        <f t="shared" ref="AK43:AR43" si="64">SUM(AK34*$A$1,AK35*$A$2,AK36*$A$3,AK37*$A$4,AK38*$A$5,AK39*$A$6,AK40*$A$7,AK41*$A$8,AK42*$A$9)</f>
        <v>0.1111111111111111</v>
      </c>
      <c r="AL43">
        <f t="shared" si="64"/>
        <v>0.22222222222222221</v>
      </c>
      <c r="AM43">
        <f t="shared" si="64"/>
        <v>0.33333333333333343</v>
      </c>
      <c r="AN43">
        <f t="shared" si="64"/>
        <v>0.44444444444444425</v>
      </c>
      <c r="AO43">
        <f t="shared" si="64"/>
        <v>0.55555555555555569</v>
      </c>
      <c r="AP43">
        <f t="shared" si="64"/>
        <v>0.66666666666666696</v>
      </c>
      <c r="AQ43">
        <f t="shared" si="64"/>
        <v>0.77777777777777779</v>
      </c>
      <c r="AR43">
        <f t="shared" si="64"/>
        <v>0.88888888888888873</v>
      </c>
      <c r="AT43">
        <f>SUM(AT34*$A$1,AT35*$A$2,AT36*$A$3,AT37*$A$4,AT38*$A$5,AT39*$A$6,AT40*$A$7,AT41*$A$8,AT42*$A$9)</f>
        <v>0.99999999971404363</v>
      </c>
      <c r="AU43">
        <f t="shared" ref="AU43:BB43" si="65">SUM(AU34*$A$1,AU35*$A$2,AU36*$A$3,AU37*$A$4,AU38*$A$5,AU39*$A$6,AU40*$A$7,AU41*$A$8,AU42*$A$9)</f>
        <v>1.1111111083080292</v>
      </c>
      <c r="AV43">
        <f t="shared" si="65"/>
        <v>1.2222222071127979</v>
      </c>
      <c r="AW43">
        <f t="shared" si="65"/>
        <v>1.3333332741131758</v>
      </c>
      <c r="AX43">
        <f t="shared" si="65"/>
        <v>1.4444442558951083</v>
      </c>
      <c r="AY43">
        <f t="shared" si="65"/>
        <v>1.555555038468353</v>
      </c>
      <c r="AZ43">
        <f t="shared" si="65"/>
        <v>1.6666654007901178</v>
      </c>
      <c r="BA43">
        <f t="shared" si="65"/>
        <v>1.7777749450441205</v>
      </c>
      <c r="BB43">
        <f t="shared" si="65"/>
        <v>1.8888829969254932</v>
      </c>
    </row>
    <row r="45" spans="6:54" x14ac:dyDescent="0.25">
      <c r="F45">
        <f>_xlfn.HYPGEOM.DIST($A1,$C$5,'Benchmarks by Card Role'!D$2,99,FALSE)</f>
        <v>1.1509339351577054E-2</v>
      </c>
      <c r="G45">
        <f>_xlfn.HYPGEOM.DIST($A1,$C$5,'Benchmarks by Card Role'!E$2,99,FALSE)</f>
        <v>9.5363097484495573E-3</v>
      </c>
      <c r="H45">
        <f>_xlfn.HYPGEOM.DIST($A1,$C$5,'Benchmarks by Card Role'!F$2,99,FALSE)</f>
        <v>7.8778210965452875E-3</v>
      </c>
      <c r="I45">
        <f>_xlfn.HYPGEOM.DIST($A1,$C$5,'Benchmarks by Card Role'!G$2,99,FALSE)</f>
        <v>6.48761737362553E-3</v>
      </c>
      <c r="J45">
        <f>_xlfn.HYPGEOM.DIST($A1,$C$5,'Benchmarks by Card Role'!H$2,99,FALSE)</f>
        <v>5.3256560529761892E-3</v>
      </c>
      <c r="K45">
        <f>_xlfn.HYPGEOM.DIST($A1,$C$5,'Benchmarks by Card Role'!I$2,99,FALSE)</f>
        <v>4.3573549524350639E-3</v>
      </c>
      <c r="L45">
        <f>_xlfn.HYPGEOM.DIST($A1,$C$5,'Benchmarks by Card Role'!J$2,99,FALSE)</f>
        <v>3.5529201919855106E-3</v>
      </c>
      <c r="M45">
        <f>_xlfn.HYPGEOM.DIST($A1,$C$5,'Benchmarks by Card Role'!K$2,99,FALSE)</f>
        <v>2.886747655988228E-3</v>
      </c>
      <c r="N45">
        <f>_xlfn.HYPGEOM.DIST($A1,$C$5,'Benchmarks by Card Role'!L$2,99,FALSE)</f>
        <v>2.3368909596095172E-3</v>
      </c>
      <c r="P45">
        <f>_xlfn.HYPGEOM.DIST($A1,$C$5,'Benchmarks by Card Role'!D$12,99,FALSE)</f>
        <v>0.39251317092527288</v>
      </c>
      <c r="Q45">
        <f>_xlfn.HYPGEOM.DIST($A1,$C$5,'Benchmarks by Card Role'!E$12,99,FALSE)</f>
        <v>0.34131580080458507</v>
      </c>
      <c r="R45">
        <f>_xlfn.HYPGEOM.DIST($A1,$C$5,'Benchmarks by Card Role'!F$12,99,FALSE)</f>
        <v>0.29630712377540908</v>
      </c>
      <c r="S45">
        <f>_xlfn.HYPGEOM.DIST($A1,$C$5,'Benchmarks by Card Role'!G$12,99,FALSE)</f>
        <v>0.25679950727202105</v>
      </c>
      <c r="T45">
        <f>_xlfn.HYPGEOM.DIST($A1,$C$5,'Benchmarks by Card Role'!H$12,99,FALSE)</f>
        <v>0.22217485460613079</v>
      </c>
      <c r="U45">
        <f>_xlfn.HYPGEOM.DIST($A1,$C$5,'Benchmarks by Card Role'!I$12,99,FALSE)</f>
        <v>0.19187828352347655</v>
      </c>
      <c r="V45">
        <f>_xlfn.HYPGEOM.DIST($A1,$C$5,'Benchmarks by Card Role'!J$12,99,FALSE)</f>
        <v>0.16541231338230725</v>
      </c>
      <c r="W45">
        <f>_xlfn.HYPGEOM.DIST($A1,$C$5,'Benchmarks by Card Role'!K$12,99,FALSE)</f>
        <v>0.14233152546849701</v>
      </c>
      <c r="X45">
        <f>_xlfn.HYPGEOM.DIST($A1,$C$5,'Benchmarks by Card Role'!L$12,99,FALSE)</f>
        <v>0.12223766304941509</v>
      </c>
      <c r="Z45">
        <f>_xlfn.HYPGEOM.DIST($A1,$C$5,'Benchmarks by Card Role'!D$22,99,FALSE)</f>
        <v>0.39251317092527288</v>
      </c>
      <c r="AA45">
        <f>_xlfn.HYPGEOM.DIST($A1,$C$5,'Benchmarks by Card Role'!E$22,99,FALSE)</f>
        <v>0.34131580080458507</v>
      </c>
      <c r="AB45">
        <f>_xlfn.HYPGEOM.DIST($A1,$C$5,'Benchmarks by Card Role'!F$22,99,FALSE)</f>
        <v>0.29630712377540908</v>
      </c>
      <c r="AC45">
        <f>_xlfn.HYPGEOM.DIST($A1,$C$5,'Benchmarks by Card Role'!G$22,99,FALSE)</f>
        <v>0.25679950727202105</v>
      </c>
      <c r="AD45">
        <f>_xlfn.HYPGEOM.DIST($A1,$C$5,'Benchmarks by Card Role'!H$22,99,FALSE)</f>
        <v>0.22217485460613079</v>
      </c>
      <c r="AE45">
        <f>_xlfn.HYPGEOM.DIST($A1,$C$5,'Benchmarks by Card Role'!I$22,99,FALSE)</f>
        <v>0.19187828352347655</v>
      </c>
      <c r="AF45">
        <f>_xlfn.HYPGEOM.DIST($A1,$C$5,'Benchmarks by Card Role'!J$22,99,FALSE)</f>
        <v>0.16541231338230725</v>
      </c>
      <c r="AG45">
        <f>_xlfn.HYPGEOM.DIST($A1,$C$5,'Benchmarks by Card Role'!K$22,99,FALSE)</f>
        <v>0.14233152546849701</v>
      </c>
      <c r="AH45">
        <f>_xlfn.HYPGEOM.DIST($A1,$C$5,'Benchmarks by Card Role'!L$22,99,FALSE)</f>
        <v>0.12223766304941509</v>
      </c>
      <c r="AJ45">
        <f>_xlfn.HYPGEOM.DIST($A1,$C$5,'Benchmarks by Card Role'!D$32,99,FALSE)</f>
        <v>1</v>
      </c>
      <c r="AK45">
        <f>_xlfn.HYPGEOM.DIST($A1,$C$5,'Benchmarks by Card Role'!E$32,99,FALSE)</f>
        <v>0.87878787878787923</v>
      </c>
      <c r="AL45">
        <f>_xlfn.HYPGEOM.DIST($A1,$C$5,'Benchmarks by Card Role'!F$32,99,FALSE)</f>
        <v>0.77118119975262844</v>
      </c>
      <c r="AM45">
        <f>_xlfn.HYPGEOM.DIST($A1,$C$5,'Benchmarks by Card Role'!G$32,99,FALSE)</f>
        <v>0.67577733998941669</v>
      </c>
      <c r="AN45">
        <f>_xlfn.HYPGEOM.DIST($A1,$C$5,'Benchmarks by Card Role'!H$32,99,FALSE)</f>
        <v>0.59130517249073944</v>
      </c>
      <c r="AO45">
        <f>_xlfn.HYPGEOM.DIST($A1,$C$5,'Benchmarks by Card Role'!I$32,99,FALSE)</f>
        <v>0.5166139928076986</v>
      </c>
      <c r="AP45">
        <f>_xlfn.HYPGEOM.DIST($A1,$C$5,'Benchmarks by Card Role'!J$32,99,FALSE)</f>
        <v>0.45066327032160958</v>
      </c>
      <c r="AQ45">
        <f>_xlfn.HYPGEOM.DIST($A1,$C$5,'Benchmarks by Card Role'!K$32,99,FALSE)</f>
        <v>0.39251317092527288</v>
      </c>
      <c r="AR45">
        <f>_xlfn.HYPGEOM.DIST($A1,$C$5,'Benchmarks by Card Role'!L$32,99,FALSE)</f>
        <v>0.34131580080458507</v>
      </c>
      <c r="AT45">
        <f>_xlfn.HYPGEOM.DIST($A1,$C$5,'Benchmarks by Card Role'!D$42,99,FALSE)</f>
        <v>0.29630712377540908</v>
      </c>
      <c r="AU45">
        <f>_xlfn.HYPGEOM.DIST($A1,$C$5,'Benchmarks by Card Role'!E$42,99,FALSE)</f>
        <v>0.25679950727202105</v>
      </c>
      <c r="AV45">
        <f>_xlfn.HYPGEOM.DIST($A1,$C$5,'Benchmarks by Card Role'!F$42,99,FALSE)</f>
        <v>0.22217485460613079</v>
      </c>
      <c r="AW45">
        <f>_xlfn.HYPGEOM.DIST($A1,$C$5,'Benchmarks by Card Role'!G$42,99,FALSE)</f>
        <v>0.19187828352347655</v>
      </c>
      <c r="AX45">
        <f>_xlfn.HYPGEOM.DIST($A1,$C$5,'Benchmarks by Card Role'!H$42,99,FALSE)</f>
        <v>0.16541231338230725</v>
      </c>
      <c r="AY45">
        <f>_xlfn.HYPGEOM.DIST($A1,$C$5,'Benchmarks by Card Role'!I$42,99,FALSE)</f>
        <v>0.14233152546849701</v>
      </c>
      <c r="AZ45">
        <f>_xlfn.HYPGEOM.DIST($A1,$C$5,'Benchmarks by Card Role'!J$42,99,FALSE)</f>
        <v>0.12223766304941509</v>
      </c>
      <c r="BA45">
        <f>_xlfn.HYPGEOM.DIST($A1,$C$5,'Benchmarks by Card Role'!K$42,99,FALSE)</f>
        <v>0.10477513975664149</v>
      </c>
      <c r="BB45">
        <f>_xlfn.HYPGEOM.DIST($A1,$C$5,'Benchmarks by Card Role'!L$42,99,FALSE)</f>
        <v>8.962692677977771E-2</v>
      </c>
    </row>
    <row r="46" spans="6:54" x14ac:dyDescent="0.25">
      <c r="F46">
        <f>_xlfn.HYPGEOM.DIST($A2,$C$5,'Benchmarks by Card Role'!D$2,99,FALSE)</f>
        <v>6.7885594819471443E-2</v>
      </c>
      <c r="G46">
        <f>_xlfn.HYPGEOM.DIST($A2,$C$5,'Benchmarks by Card Role'!E$2,99,FALSE)</f>
        <v>5.9190888093824813E-2</v>
      </c>
      <c r="H46">
        <f>_xlfn.HYPGEOM.DIST($A2,$C$5,'Benchmarks by Card Role'!F$2,99,FALSE)</f>
        <v>5.1413148209032401E-2</v>
      </c>
      <c r="I46">
        <f>_xlfn.HYPGEOM.DIST($A2,$C$5,'Benchmarks by Card Role'!G$2,99,FALSE)</f>
        <v>4.4486519133432177E-2</v>
      </c>
      <c r="J46">
        <f>_xlfn.HYPGEOM.DIST($A2,$C$5,'Benchmarks by Card Role'!H$2,99,FALSE)</f>
        <v>3.8344723581428493E-2</v>
      </c>
      <c r="K46">
        <f>_xlfn.HYPGEOM.DIST($A2,$C$5,'Benchmarks by Card Role'!I$2,99,FALSE)</f>
        <v>3.2922237418398212E-2</v>
      </c>
      <c r="L46">
        <f>_xlfn.HYPGEOM.DIST($A2,$C$5,'Benchmarks by Card Role'!J$2,99,FALSE)</f>
        <v>2.8155216615734224E-2</v>
      </c>
      <c r="M46">
        <f>_xlfn.HYPGEOM.DIST($A2,$C$5,'Benchmarks by Card Role'!K$2,99,FALSE)</f>
        <v>2.3982211295902185E-2</v>
      </c>
      <c r="N46">
        <f>_xlfn.HYPGEOM.DIST($A2,$C$5,'Benchmarks by Card Role'!L$2,99,FALSE)</f>
        <v>2.0344697766012259E-2</v>
      </c>
      <c r="P46">
        <f>_xlfn.HYPGEOM.DIST($A2,$C$5,'Benchmarks by Card Role'!D$12,99,FALSE)</f>
        <v>0.40705069577435699</v>
      </c>
      <c r="Q46">
        <f>_xlfn.HYPGEOM.DIST($A2,$C$5,'Benchmarks by Card Role'!E$12,99,FALSE)</f>
        <v>0.40957896096550206</v>
      </c>
      <c r="R46">
        <f>_xlfn.HYPGEOM.DIST($A2,$C$5,'Benchmarks by Card Role'!F$12,99,FALSE)</f>
        <v>0.40507809326258454</v>
      </c>
      <c r="S46">
        <f>_xlfn.HYPGEOM.DIST($A2,$C$5,'Benchmarks by Card Role'!G$12,99,FALSE)</f>
        <v>0.39507616503387855</v>
      </c>
      <c r="T46">
        <f>_xlfn.HYPGEOM.DIST($A2,$C$5,'Benchmarks by Card Role'!H$12,99,FALSE)</f>
        <v>0.38087117932479536</v>
      </c>
      <c r="U46">
        <f>_xlfn.HYPGEOM.DIST($A2,$C$5,'Benchmarks by Card Role'!I$12,99,FALSE)</f>
        <v>0.36355885299185015</v>
      </c>
      <c r="V46">
        <f>_xlfn.HYPGEOM.DIST($A2,$C$5,'Benchmarks by Card Role'!J$12,99,FALSE)</f>
        <v>0.34405761183519912</v>
      </c>
      <c r="W46">
        <f>_xlfn.HYPGEOM.DIST($A2,$C$5,'Benchmarks by Card Role'!K$12,99,FALSE)</f>
        <v>0.3231310307933446</v>
      </c>
      <c r="X46">
        <f>_xlfn.HYPGEOM.DIST($A2,$C$5,'Benchmarks by Card Role'!L$12,99,FALSE)</f>
        <v>0.30140793628622897</v>
      </c>
      <c r="Z46">
        <f>_xlfn.HYPGEOM.DIST($A2,$C$5,'Benchmarks by Card Role'!D$22,99,FALSE)</f>
        <v>0.40705069577435699</v>
      </c>
      <c r="AA46">
        <f>_xlfn.HYPGEOM.DIST($A2,$C$5,'Benchmarks by Card Role'!E$22,99,FALSE)</f>
        <v>0.40957896096550206</v>
      </c>
      <c r="AB46">
        <f>_xlfn.HYPGEOM.DIST($A2,$C$5,'Benchmarks by Card Role'!F$22,99,FALSE)</f>
        <v>0.40507809326258454</v>
      </c>
      <c r="AC46">
        <f>_xlfn.HYPGEOM.DIST($A2,$C$5,'Benchmarks by Card Role'!G$22,99,FALSE)</f>
        <v>0.39507616503387855</v>
      </c>
      <c r="AD46">
        <f>_xlfn.HYPGEOM.DIST($A2,$C$5,'Benchmarks by Card Role'!H$22,99,FALSE)</f>
        <v>0.38087117932479536</v>
      </c>
      <c r="AE46">
        <f>_xlfn.HYPGEOM.DIST($A2,$C$5,'Benchmarks by Card Role'!I$22,99,FALSE)</f>
        <v>0.36355885299185015</v>
      </c>
      <c r="AF46">
        <f>_xlfn.HYPGEOM.DIST($A2,$C$5,'Benchmarks by Card Role'!J$22,99,FALSE)</f>
        <v>0.34405761183519912</v>
      </c>
      <c r="AG46">
        <f>_xlfn.HYPGEOM.DIST($A2,$C$5,'Benchmarks by Card Role'!K$22,99,FALSE)</f>
        <v>0.3231310307933446</v>
      </c>
      <c r="AH46">
        <f>_xlfn.HYPGEOM.DIST($A2,$C$5,'Benchmarks by Card Role'!L$22,99,FALSE)</f>
        <v>0.30140793628622897</v>
      </c>
      <c r="AJ46">
        <f>_xlfn.HYPGEOM.DIST($A2,$C$5,'Benchmarks by Card Role'!D$32,99,FALSE)</f>
        <v>0</v>
      </c>
      <c r="AK46">
        <f>_xlfn.HYPGEOM.DIST($A2,$C$5,'Benchmarks by Card Role'!E$32,99,FALSE)</f>
        <v>0.12121212121212119</v>
      </c>
      <c r="AL46">
        <f>_xlfn.HYPGEOM.DIST($A2,$C$5,'Benchmarks by Card Role'!F$32,99,FALSE)</f>
        <v>0.21521335807050088</v>
      </c>
      <c r="AM46">
        <f>_xlfn.HYPGEOM.DIST($A2,$C$5,'Benchmarks by Card Role'!G$32,99,FALSE)</f>
        <v>0.2862115792896352</v>
      </c>
      <c r="AN46">
        <f>_xlfn.HYPGEOM.DIST($A2,$C$5,'Benchmarks by Card Role'!H$32,99,FALSE)</f>
        <v>0.33788866999470835</v>
      </c>
      <c r="AO46">
        <f>_xlfn.HYPGEOM.DIST($A2,$C$5,'Benchmarks by Card Role'!I$32,99,FALSE)</f>
        <v>0.37345589841520382</v>
      </c>
      <c r="AP46">
        <f>_xlfn.HYPGEOM.DIST($A2,$C$5,'Benchmarks by Card Role'!J$32,99,FALSE)</f>
        <v>0.39570433491653523</v>
      </c>
      <c r="AQ46">
        <f>_xlfn.HYPGEOM.DIST($A2,$C$5,'Benchmarks by Card Role'!K$32,99,FALSE)</f>
        <v>0.40705069577435699</v>
      </c>
      <c r="AR46">
        <f>_xlfn.HYPGEOM.DIST($A2,$C$5,'Benchmarks by Card Role'!L$32,99,FALSE)</f>
        <v>0.40957896096550206</v>
      </c>
      <c r="AT46">
        <f>_xlfn.HYPGEOM.DIST($A2,$C$5,'Benchmarks by Card Role'!D$42,99,FALSE)</f>
        <v>0.40507809326258454</v>
      </c>
      <c r="AU46">
        <f>_xlfn.HYPGEOM.DIST($A2,$C$5,'Benchmarks by Card Role'!E$42,99,FALSE)</f>
        <v>0.39507616503387855</v>
      </c>
      <c r="AV46">
        <f>_xlfn.HYPGEOM.DIST($A2,$C$5,'Benchmarks by Card Role'!F$42,99,FALSE)</f>
        <v>0.38087117932479536</v>
      </c>
      <c r="AW46">
        <f>_xlfn.HYPGEOM.DIST($A2,$C$5,'Benchmarks by Card Role'!G$42,99,FALSE)</f>
        <v>0.36355885299185015</v>
      </c>
      <c r="AX46">
        <f>_xlfn.HYPGEOM.DIST($A2,$C$5,'Benchmarks by Card Role'!H$42,99,FALSE)</f>
        <v>0.34405761183519912</v>
      </c>
      <c r="AY46">
        <f>_xlfn.HYPGEOM.DIST($A2,$C$5,'Benchmarks by Card Role'!I$42,99,FALSE)</f>
        <v>0.3231310307933446</v>
      </c>
      <c r="AZ46">
        <f>_xlfn.HYPGEOM.DIST($A2,$C$5,'Benchmarks by Card Role'!J$42,99,FALSE)</f>
        <v>0.30140793628622897</v>
      </c>
      <c r="BA46">
        <f>_xlfn.HYPGEOM.DIST($A2,$C$5,'Benchmarks by Card Role'!K$42,99,FALSE)</f>
        <v>0.2794003726843774</v>
      </c>
      <c r="BB46">
        <f>_xlfn.HYPGEOM.DIST($A2,$C$5,'Benchmarks by Card Role'!L$42,99,FALSE)</f>
        <v>0.25751962060668521</v>
      </c>
    </row>
    <row r="47" spans="6:54" x14ac:dyDescent="0.25">
      <c r="F47">
        <f>_xlfn.HYPGEOM.DIST($A3,$C$5,'Benchmarks by Card Role'!D$2,99,FALSE)</f>
        <v>0.17423969336997677</v>
      </c>
      <c r="G47">
        <f>_xlfn.HYPGEOM.DIST($A3,$C$5,'Benchmarks by Card Role'!E$2,99,FALSE)</f>
        <v>0.16001604493161126</v>
      </c>
      <c r="H47">
        <f>_xlfn.HYPGEOM.DIST($A3,$C$5,'Benchmarks by Card Role'!F$2,99,FALSE)</f>
        <v>0.14626154231879898</v>
      </c>
      <c r="I47">
        <f>_xlfn.HYPGEOM.DIST($A3,$C$5,'Benchmarks by Card Role'!G$2,99,FALSE)</f>
        <v>0.13306932477631903</v>
      </c>
      <c r="J47">
        <f>_xlfn.HYPGEOM.DIST($A3,$C$5,'Benchmarks by Card Role'!H$2,99,FALSE)</f>
        <v>0.12051198839877535</v>
      </c>
      <c r="K47">
        <f>_xlfn.HYPGEOM.DIST($A3,$C$5,'Benchmarks by Card Role'!I$2,99,FALSE)</f>
        <v>0.10864338348071406</v>
      </c>
      <c r="L47">
        <f>_xlfn.HYPGEOM.DIST($A3,$C$5,'Benchmarks by Card Role'!J$2,99,FALSE)</f>
        <v>9.7500472354486931E-2</v>
      </c>
      <c r="M47">
        <f>_xlfn.HYPGEOM.DIST($A3,$C$5,'Benchmarks by Card Role'!K$2,99,FALSE)</f>
        <v>8.7105201404927585E-2</v>
      </c>
      <c r="N47">
        <f>_xlfn.HYPGEOM.DIST($A3,$C$5,'Benchmarks by Card Role'!L$2,99,FALSE)</f>
        <v>7.7466349185969757E-2</v>
      </c>
      <c r="P47">
        <f>_xlfn.HYPGEOM.DIST($A3,$C$5,'Benchmarks by Card Role'!D$12,99,FALSE)</f>
        <v>0.16381308488480215</v>
      </c>
      <c r="Q47">
        <f>_xlfn.HYPGEOM.DIST($A3,$C$5,'Benchmarks by Card Role'!E$12,99,FALSE)</f>
        <v>0.19467641971817068</v>
      </c>
      <c r="R47">
        <f>_xlfn.HYPGEOM.DIST($A3,$C$5,'Benchmarks by Card Role'!F$12,99,FALSE)</f>
        <v>0.22279295129442142</v>
      </c>
      <c r="S47">
        <f>_xlfn.HYPGEOM.DIST($A3,$C$5,'Benchmarks by Card Role'!G$12,99,FALSE)</f>
        <v>0.24754772366046826</v>
      </c>
      <c r="T47">
        <f>_xlfn.HYPGEOM.DIST($A3,$C$5,'Benchmarks by Card Role'!H$12,99,FALSE)</f>
        <v>0.26856301106235575</v>
      </c>
      <c r="U47">
        <f>_xlfn.HYPGEOM.DIST($A3,$C$5,'Benchmarks by Card Role'!I$12,99,FALSE)</f>
        <v>0.28565338449359645</v>
      </c>
      <c r="V47">
        <f>_xlfn.HYPGEOM.DIST($A3,$C$5,'Benchmarks by Card Role'!J$12,99,FALSE)</f>
        <v>0.29878687343583077</v>
      </c>
      <c r="W47">
        <f>_xlfn.HYPGEOM.DIST($A3,$C$5,'Benchmarks by Card Role'!K$12,99,FALSE)</f>
        <v>0.30805158268965516</v>
      </c>
      <c r="X47">
        <f>_xlfn.HYPGEOM.DIST($A3,$C$5,'Benchmarks by Card Role'!L$12,99,FALSE)</f>
        <v>0.31362717694648129</v>
      </c>
      <c r="Z47">
        <f>_xlfn.HYPGEOM.DIST($A3,$C$5,'Benchmarks by Card Role'!D$22,99,FALSE)</f>
        <v>0.16381308488480215</v>
      </c>
      <c r="AA47">
        <f>_xlfn.HYPGEOM.DIST($A3,$C$5,'Benchmarks by Card Role'!E$22,99,FALSE)</f>
        <v>0.19467641971817068</v>
      </c>
      <c r="AB47">
        <f>_xlfn.HYPGEOM.DIST($A3,$C$5,'Benchmarks by Card Role'!F$22,99,FALSE)</f>
        <v>0.22279295129442142</v>
      </c>
      <c r="AC47">
        <f>_xlfn.HYPGEOM.DIST($A3,$C$5,'Benchmarks by Card Role'!G$22,99,FALSE)</f>
        <v>0.24754772366046826</v>
      </c>
      <c r="AD47">
        <f>_xlfn.HYPGEOM.DIST($A3,$C$5,'Benchmarks by Card Role'!H$22,99,FALSE)</f>
        <v>0.26856301106235575</v>
      </c>
      <c r="AE47">
        <f>_xlfn.HYPGEOM.DIST($A3,$C$5,'Benchmarks by Card Role'!I$22,99,FALSE)</f>
        <v>0.28565338449359645</v>
      </c>
      <c r="AF47">
        <f>_xlfn.HYPGEOM.DIST($A3,$C$5,'Benchmarks by Card Role'!J$22,99,FALSE)</f>
        <v>0.29878687343583077</v>
      </c>
      <c r="AG47">
        <f>_xlfn.HYPGEOM.DIST($A3,$C$5,'Benchmarks by Card Role'!K$22,99,FALSE)</f>
        <v>0.30805158268965516</v>
      </c>
      <c r="AH47">
        <f>_xlfn.HYPGEOM.DIST($A3,$C$5,'Benchmarks by Card Role'!L$22,99,FALSE)</f>
        <v>0.31362717694648129</v>
      </c>
      <c r="AJ47">
        <f>_xlfn.HYPGEOM.DIST($A3,$C$5,'Benchmarks by Card Role'!D$32,99,FALSE)</f>
        <v>0</v>
      </c>
      <c r="AK47">
        <f>_xlfn.HYPGEOM.DIST($A3,$C$5,'Benchmarks by Card Role'!E$32,99,FALSE)</f>
        <v>0</v>
      </c>
      <c r="AL47">
        <f>_xlfn.HYPGEOM.DIST($A3,$C$5,'Benchmarks by Card Role'!F$32,99,FALSE)</f>
        <v>1.3605442176870746E-2</v>
      </c>
      <c r="AM47">
        <f>_xlfn.HYPGEOM.DIST($A3,$C$5,'Benchmarks by Card Role'!G$32,99,FALSE)</f>
        <v>3.6608457816116151E-2</v>
      </c>
      <c r="AN47">
        <f>_xlfn.HYPGEOM.DIST($A3,$C$5,'Benchmarks by Card Role'!H$32,99,FALSE)</f>
        <v>6.5590153587208003E-2</v>
      </c>
      <c r="AO47">
        <f>_xlfn.HYPGEOM.DIST($A3,$C$5,'Benchmarks by Card Role'!I$32,99,FALSE)</f>
        <v>9.7809878156362898E-2</v>
      </c>
      <c r="AP47">
        <f>_xlfn.HYPGEOM.DIST($A3,$C$5,'Benchmarks by Card Role'!J$32,99,FALSE)</f>
        <v>0.13110685795427368</v>
      </c>
      <c r="AQ47">
        <f>_xlfn.HYPGEOM.DIST($A3,$C$5,'Benchmarks by Card Role'!K$32,99,FALSE)</f>
        <v>0.16381308488480215</v>
      </c>
      <c r="AR47">
        <f>_xlfn.HYPGEOM.DIST($A3,$C$5,'Benchmarks by Card Role'!L$32,99,FALSE)</f>
        <v>0.19467641971817068</v>
      </c>
      <c r="AT47">
        <f>_xlfn.HYPGEOM.DIST($A3,$C$5,'Benchmarks by Card Role'!D$42,99,FALSE)</f>
        <v>0.22279295129442142</v>
      </c>
      <c r="AU47">
        <f>_xlfn.HYPGEOM.DIST($A3,$C$5,'Benchmarks by Card Role'!E$42,99,FALSE)</f>
        <v>0.24754772366046826</v>
      </c>
      <c r="AV47">
        <f>_xlfn.HYPGEOM.DIST($A3,$C$5,'Benchmarks by Card Role'!F$42,99,FALSE)</f>
        <v>0.26856301106235575</v>
      </c>
      <c r="AW47">
        <f>_xlfn.HYPGEOM.DIST($A3,$C$5,'Benchmarks by Card Role'!G$42,99,FALSE)</f>
        <v>0.28565338449359645</v>
      </c>
      <c r="AX47">
        <f>_xlfn.HYPGEOM.DIST($A3,$C$5,'Benchmarks by Card Role'!H$42,99,FALSE)</f>
        <v>0.29878687343583077</v>
      </c>
      <c r="AY47">
        <f>_xlfn.HYPGEOM.DIST($A3,$C$5,'Benchmarks by Card Role'!I$42,99,FALSE)</f>
        <v>0.30805158268965516</v>
      </c>
      <c r="AZ47">
        <f>_xlfn.HYPGEOM.DIST($A3,$C$5,'Benchmarks by Card Role'!J$42,99,FALSE)</f>
        <v>0.31362717694648129</v>
      </c>
      <c r="BA47">
        <f>_xlfn.HYPGEOM.DIST($A3,$C$5,'Benchmarks by Card Role'!K$42,99,FALSE)</f>
        <v>0.31576069515700167</v>
      </c>
      <c r="BB47">
        <f>_xlfn.HYPGEOM.DIST($A3,$C$5,'Benchmarks by Card Role'!L$42,99,FALSE)</f>
        <v>0.31474620296372607</v>
      </c>
    </row>
    <row r="48" spans="6:54" x14ac:dyDescent="0.25">
      <c r="F48">
        <f>_xlfn.HYPGEOM.DIST($A4,$C$5,'Benchmarks by Card Role'!D$2,99,FALSE)</f>
        <v>0.25707495743111336</v>
      </c>
      <c r="G48">
        <f>_xlfn.HYPGEOM.DIST($A4,$C$5,'Benchmarks by Card Role'!E$2,99,FALSE)</f>
        <v>0.24891384767139538</v>
      </c>
      <c r="H48">
        <f>_xlfn.HYPGEOM.DIST($A4,$C$5,'Benchmarks by Card Role'!F$2,99,FALSE)</f>
        <v>0.23963755521159186</v>
      </c>
      <c r="I48">
        <f>_xlfn.HYPGEOM.DIST($A4,$C$5,'Benchmarks by Card Role'!G$2,99,FALSE)</f>
        <v>0.22942987030399853</v>
      </c>
      <c r="J48">
        <f>_xlfn.HYPGEOM.DIST($A4,$C$5,'Benchmarks by Card Role'!H$2,99,FALSE)</f>
        <v>0.21847202575216573</v>
      </c>
      <c r="K48">
        <f>_xlfn.HYPGEOM.DIST($A4,$C$5,'Benchmarks by Card Role'!I$2,99,FALSE)</f>
        <v>0.20693977805850314</v>
      </c>
      <c r="L48">
        <f>_xlfn.HYPGEOM.DIST($A4,$C$5,'Benchmarks by Card Role'!J$2,99,FALSE)</f>
        <v>0.19500094470897394</v>
      </c>
      <c r="M48">
        <f>_xlfn.HYPGEOM.DIST($A4,$C$5,'Benchmarks by Card Role'!K$2,99,FALSE)</f>
        <v>0.18281338566466321</v>
      </c>
      <c r="N48">
        <f>_xlfn.HYPGEOM.DIST($A4,$C$5,'Benchmarks by Card Role'!L$2,99,FALSE)</f>
        <v>0.17052341015779515</v>
      </c>
      <c r="P48">
        <f>_xlfn.HYPGEOM.DIST($A4,$C$5,'Benchmarks by Card Role'!D$12,99,FALSE)</f>
        <v>3.2894193751968337E-2</v>
      </c>
      <c r="Q48">
        <f>_xlfn.HYPGEOM.DIST($A4,$C$5,'Benchmarks by Card Role'!E$12,99,FALSE)</f>
        <v>4.7482053589797749E-2</v>
      </c>
      <c r="R48">
        <f>_xlfn.HYPGEOM.DIST($A4,$C$5,'Benchmarks by Card Role'!F$12,99,FALSE)</f>
        <v>6.4179039467528842E-2</v>
      </c>
      <c r="S48">
        <f>_xlfn.HYPGEOM.DIST($A4,$C$5,'Benchmarks by Card Role'!G$12,99,FALSE)</f>
        <v>8.2515907886822878E-2</v>
      </c>
      <c r="T48">
        <f>_xlfn.HYPGEOM.DIST($A4,$C$5,'Benchmarks by Card Role'!H$12,99,FALSE)</f>
        <v>0.10198595356798325</v>
      </c>
      <c r="U48">
        <f>_xlfn.HYPGEOM.DIST($A4,$C$5,'Benchmarks by Card Role'!I$12,99,FALSE)</f>
        <v>0.1220740959374345</v>
      </c>
      <c r="V48">
        <f>_xlfn.HYPGEOM.DIST($A4,$C$5,'Benchmarks by Card Role'!J$12,99,FALSE)</f>
        <v>0.14227946354087187</v>
      </c>
      <c r="W48">
        <f>_xlfn.HYPGEOM.DIST($A4,$C$5,'Benchmarks by Card Role'!K$12,99,FALSE)</f>
        <v>0.16213241194192388</v>
      </c>
      <c r="X48">
        <f>_xlfn.HYPGEOM.DIST($A4,$C$5,'Benchmarks by Card Role'!L$12,99,FALSE)</f>
        <v>0.18120681334685609</v>
      </c>
      <c r="Z48">
        <f>_xlfn.HYPGEOM.DIST($A4,$C$5,'Benchmarks by Card Role'!D$22,99,FALSE)</f>
        <v>3.2894193751968337E-2</v>
      </c>
      <c r="AA48">
        <f>_xlfn.HYPGEOM.DIST($A4,$C$5,'Benchmarks by Card Role'!E$22,99,FALSE)</f>
        <v>4.7482053589797749E-2</v>
      </c>
      <c r="AB48">
        <f>_xlfn.HYPGEOM.DIST($A4,$C$5,'Benchmarks by Card Role'!F$22,99,FALSE)</f>
        <v>6.4179039467528842E-2</v>
      </c>
      <c r="AC48">
        <f>_xlfn.HYPGEOM.DIST($A4,$C$5,'Benchmarks by Card Role'!G$22,99,FALSE)</f>
        <v>8.2515907886822878E-2</v>
      </c>
      <c r="AD48">
        <f>_xlfn.HYPGEOM.DIST($A4,$C$5,'Benchmarks by Card Role'!H$22,99,FALSE)</f>
        <v>0.10198595356798325</v>
      </c>
      <c r="AE48">
        <f>_xlfn.HYPGEOM.DIST($A4,$C$5,'Benchmarks by Card Role'!I$22,99,FALSE)</f>
        <v>0.1220740959374345</v>
      </c>
      <c r="AF48">
        <f>_xlfn.HYPGEOM.DIST($A4,$C$5,'Benchmarks by Card Role'!J$22,99,FALSE)</f>
        <v>0.14227946354087187</v>
      </c>
      <c r="AG48">
        <f>_xlfn.HYPGEOM.DIST($A4,$C$5,'Benchmarks by Card Role'!K$22,99,FALSE)</f>
        <v>0.16213241194192388</v>
      </c>
      <c r="AH48">
        <f>_xlfn.HYPGEOM.DIST($A4,$C$5,'Benchmarks by Card Role'!L$22,99,FALSE)</f>
        <v>0.18120681334685609</v>
      </c>
      <c r="AJ48">
        <f>_xlfn.HYPGEOM.DIST($A4,$C$5,'Benchmarks by Card Role'!D$32,99,FALSE)</f>
        <v>0</v>
      </c>
      <c r="AK48">
        <f>_xlfn.HYPGEOM.DIST($A4,$C$5,'Benchmarks by Card Role'!E$32,99,FALSE)</f>
        <v>0</v>
      </c>
      <c r="AL48">
        <f>_xlfn.HYPGEOM.DIST($A4,$C$5,'Benchmarks by Card Role'!F$32,99,FALSE)</f>
        <v>0</v>
      </c>
      <c r="AM48">
        <f>_xlfn.HYPGEOM.DIST($A4,$C$5,'Benchmarks by Card Role'!G$32,99,FALSE)</f>
        <v>1.402622904832036E-3</v>
      </c>
      <c r="AN48">
        <f>_xlfn.HYPGEOM.DIST($A4,$C$5,'Benchmarks by Card Role'!H$32,99,FALSE)</f>
        <v>5.0845080300161317E-3</v>
      </c>
      <c r="AO48">
        <f>_xlfn.HYPGEOM.DIST($A4,$C$5,'Benchmarks by Card Role'!I$32,99,FALSE)</f>
        <v>1.1507044488983886E-2</v>
      </c>
      <c r="AP48">
        <f>_xlfn.HYPGEOM.DIST($A4,$C$5,'Benchmarks by Card Role'!J$32,99,FALSE)</f>
        <v>2.0810612373694259E-2</v>
      </c>
      <c r="AQ48">
        <f>_xlfn.HYPGEOM.DIST($A4,$C$5,'Benchmarks by Card Role'!K$32,99,FALSE)</f>
        <v>3.2894193751968337E-2</v>
      </c>
      <c r="AR48">
        <f>_xlfn.HYPGEOM.DIST($A4,$C$5,'Benchmarks by Card Role'!L$32,99,FALSE)</f>
        <v>4.7482053589797749E-2</v>
      </c>
      <c r="AT48">
        <f>_xlfn.HYPGEOM.DIST($A4,$C$5,'Benchmarks by Card Role'!D$42,99,FALSE)</f>
        <v>6.4179039467528842E-2</v>
      </c>
      <c r="AU48">
        <f>_xlfn.HYPGEOM.DIST($A4,$C$5,'Benchmarks by Card Role'!E$42,99,FALSE)</f>
        <v>8.2515907886822878E-2</v>
      </c>
      <c r="AV48">
        <f>_xlfn.HYPGEOM.DIST($A4,$C$5,'Benchmarks by Card Role'!F$42,99,FALSE)</f>
        <v>0.10198595356798325</v>
      </c>
      <c r="AW48">
        <f>_xlfn.HYPGEOM.DIST($A4,$C$5,'Benchmarks by Card Role'!G$42,99,FALSE)</f>
        <v>0.1220740959374345</v>
      </c>
      <c r="AX48">
        <f>_xlfn.HYPGEOM.DIST($A4,$C$5,'Benchmarks by Card Role'!H$42,99,FALSE)</f>
        <v>0.14227946354087187</v>
      </c>
      <c r="AY48">
        <f>_xlfn.HYPGEOM.DIST($A4,$C$5,'Benchmarks by Card Role'!I$42,99,FALSE)</f>
        <v>0.16213241194192388</v>
      </c>
      <c r="AZ48">
        <f>_xlfn.HYPGEOM.DIST($A4,$C$5,'Benchmarks by Card Role'!J$42,99,FALSE)</f>
        <v>0.18120681334685609</v>
      </c>
      <c r="BA48">
        <f>_xlfn.HYPGEOM.DIST($A4,$C$5,'Benchmarks by Card Role'!K$42,99,FALSE)</f>
        <v>0.19912836631522643</v>
      </c>
      <c r="BB48">
        <f>_xlfn.HYPGEOM.DIST($A4,$C$5,'Benchmarks by Card Role'!L$42,99,FALSE)</f>
        <v>0.21557959107104546</v>
      </c>
    </row>
    <row r="49" spans="6:54" x14ac:dyDescent="0.25">
      <c r="F49">
        <f>_xlfn.HYPGEOM.DIST($A5,$C$5,'Benchmarks by Card Role'!D$2,99,FALSE)</f>
        <v>0.24256266144709876</v>
      </c>
      <c r="G49">
        <f>_xlfn.HYPGEOM.DIST($A5,$C$5,'Benchmarks by Card Role'!E$2,99,FALSE)</f>
        <v>0.24789370895143051</v>
      </c>
      <c r="H49">
        <f>_xlfn.HYPGEOM.DIST($A5,$C$5,'Benchmarks by Card Role'!F$2,99,FALSE)</f>
        <v>0.25161943297217121</v>
      </c>
      <c r="I49">
        <f>_xlfn.HYPGEOM.DIST($A5,$C$5,'Benchmarks by Card Role'!G$2,99,FALSE)</f>
        <v>0.25373388198874408</v>
      </c>
      <c r="J49">
        <f>_xlfn.HYPGEOM.DIST($A5,$C$5,'Benchmarks by Card Role'!H$2,99,FALSE)</f>
        <v>0.25425623686674464</v>
      </c>
      <c r="K49">
        <f>_xlfn.HYPGEOM.DIST($A5,$C$5,'Benchmarks by Card Role'!I$2,99,FALSE)</f>
        <v>0.25322893894001014</v>
      </c>
      <c r="L49">
        <f>_xlfn.HYPGEOM.DIST($A5,$C$5,'Benchmarks by Card Role'!J$2,99,FALSE)</f>
        <v>0.25071550034010942</v>
      </c>
      <c r="M49">
        <f>_xlfn.HYPGEOM.DIST($A5,$C$5,'Benchmarks by Card Role'!K$2,99,FALSE)</f>
        <v>0.24679807064729506</v>
      </c>
      <c r="N49">
        <f>_xlfn.HYPGEOM.DIST($A5,$C$5,'Benchmarks by Card Role'!L$2,99,FALSE)</f>
        <v>0.24157483105687616</v>
      </c>
      <c r="P49">
        <f>_xlfn.HYPGEOM.DIST($A5,$C$5,'Benchmarks by Card Role'!D$12,99,FALSE)</f>
        <v>3.5243779019966054E-3</v>
      </c>
      <c r="Q49">
        <f>_xlfn.HYPGEOM.DIST($A5,$C$5,'Benchmarks by Card Role'!E$12,99,FALSE)</f>
        <v>6.4358205166894474E-3</v>
      </c>
      <c r="R49">
        <f>_xlfn.HYPGEOM.DIST($A5,$C$5,'Benchmarks by Card Role'!F$12,99,FALSE)</f>
        <v>1.0566061375751674E-2</v>
      </c>
      <c r="S49">
        <f>_xlfn.HYPGEOM.DIST($A5,$C$5,'Benchmarks by Card Role'!G$12,99,FALSE)</f>
        <v>1.6044759866882207E-2</v>
      </c>
      <c r="T49">
        <f>_xlfn.HYPGEOM.DIST($A5,$C$5,'Benchmarks by Card Role'!H$12,99,FALSE)</f>
        <v>2.2946839552796212E-2</v>
      </c>
      <c r="U49">
        <f>_xlfn.HYPGEOM.DIST($A5,$C$5,'Benchmarks by Card Role'!I$12,99,FALSE)</f>
        <v>3.1291144844722125E-2</v>
      </c>
      <c r="V49">
        <f>_xlfn.HYPGEOM.DIST($A5,$C$5,'Benchmarks by Card Role'!J$12,99,FALSE)</f>
        <v>4.1042152944482227E-2</v>
      </c>
      <c r="W49">
        <f>_xlfn.HYPGEOM.DIST($A5,$C$5,'Benchmarks by Card Role'!K$12,99,FALSE)</f>
        <v>5.211398955276119E-2</v>
      </c>
      <c r="X49">
        <f>_xlfn.HYPGEOM.DIST($A5,$C$5,'Benchmarks by Card Role'!L$12,99,FALSE)</f>
        <v>6.4376104741646192E-2</v>
      </c>
      <c r="Z49">
        <f>_xlfn.HYPGEOM.DIST($A5,$C$5,'Benchmarks by Card Role'!D$22,99,FALSE)</f>
        <v>3.5243779019966054E-3</v>
      </c>
      <c r="AA49">
        <f>_xlfn.HYPGEOM.DIST($A5,$C$5,'Benchmarks by Card Role'!E$22,99,FALSE)</f>
        <v>6.4358205166894474E-3</v>
      </c>
      <c r="AB49">
        <f>_xlfn.HYPGEOM.DIST($A5,$C$5,'Benchmarks by Card Role'!F$22,99,FALSE)</f>
        <v>1.0566061375751674E-2</v>
      </c>
      <c r="AC49">
        <f>_xlfn.HYPGEOM.DIST($A5,$C$5,'Benchmarks by Card Role'!G$22,99,FALSE)</f>
        <v>1.6044759866882207E-2</v>
      </c>
      <c r="AD49">
        <f>_xlfn.HYPGEOM.DIST($A5,$C$5,'Benchmarks by Card Role'!H$22,99,FALSE)</f>
        <v>2.2946839552796212E-2</v>
      </c>
      <c r="AE49">
        <f>_xlfn.HYPGEOM.DIST($A5,$C$5,'Benchmarks by Card Role'!I$22,99,FALSE)</f>
        <v>3.1291144844722125E-2</v>
      </c>
      <c r="AF49">
        <f>_xlfn.HYPGEOM.DIST($A5,$C$5,'Benchmarks by Card Role'!J$22,99,FALSE)</f>
        <v>4.1042152944482227E-2</v>
      </c>
      <c r="AG49">
        <f>_xlfn.HYPGEOM.DIST($A5,$C$5,'Benchmarks by Card Role'!K$22,99,FALSE)</f>
        <v>5.211398955276119E-2</v>
      </c>
      <c r="AH49">
        <f>_xlfn.HYPGEOM.DIST($A5,$C$5,'Benchmarks by Card Role'!L$22,99,FALSE)</f>
        <v>6.4376104741646192E-2</v>
      </c>
      <c r="AJ49">
        <f>_xlfn.HYPGEOM.DIST($A5,$C$5,'Benchmarks by Card Role'!D$32,99,FALSE)</f>
        <v>0</v>
      </c>
      <c r="AK49">
        <f>_xlfn.HYPGEOM.DIST($A5,$C$5,'Benchmarks by Card Role'!E$32,99,FALSE)</f>
        <v>0</v>
      </c>
      <c r="AL49">
        <f>_xlfn.HYPGEOM.DIST($A5,$C$5,'Benchmarks by Card Role'!F$32,99,FALSE)</f>
        <v>0</v>
      </c>
      <c r="AM49">
        <f>_xlfn.HYPGEOM.DIST($A5,$C$5,'Benchmarks by Card Role'!G$32,99,FALSE)</f>
        <v>0</v>
      </c>
      <c r="AN49">
        <f>_xlfn.HYPGEOM.DIST($A5,$C$5,'Benchmarks by Card Role'!H$32,99,FALSE)</f>
        <v>1.3149589732800327E-4</v>
      </c>
      <c r="AO49">
        <f>_xlfn.HYPGEOM.DIST($A5,$C$5,'Benchmarks by Card Role'!I$32,99,FALSE)</f>
        <v>6.0211279302822655E-4</v>
      </c>
      <c r="AP49">
        <f>_xlfn.HYPGEOM.DIST($A5,$C$5,'Benchmarks by Card Role'!J$32,99,FALSE)</f>
        <v>1.6526074532051307E-3</v>
      </c>
      <c r="AQ49">
        <f>_xlfn.HYPGEOM.DIST($A5,$C$5,'Benchmarks by Card Role'!K$32,99,FALSE)</f>
        <v>3.5243779019966054E-3</v>
      </c>
      <c r="AR49">
        <f>_xlfn.HYPGEOM.DIST($A5,$C$5,'Benchmarks by Card Role'!L$32,99,FALSE)</f>
        <v>6.4358205166894474E-3</v>
      </c>
      <c r="AT49">
        <f>_xlfn.HYPGEOM.DIST($A5,$C$5,'Benchmarks by Card Role'!D$42,99,FALSE)</f>
        <v>1.0566061375751674E-2</v>
      </c>
      <c r="AU49">
        <f>_xlfn.HYPGEOM.DIST($A5,$C$5,'Benchmarks by Card Role'!E$42,99,FALSE)</f>
        <v>1.6044759866882207E-2</v>
      </c>
      <c r="AV49">
        <f>_xlfn.HYPGEOM.DIST($A5,$C$5,'Benchmarks by Card Role'!F$42,99,FALSE)</f>
        <v>2.2946839552796212E-2</v>
      </c>
      <c r="AW49">
        <f>_xlfn.HYPGEOM.DIST($A5,$C$5,'Benchmarks by Card Role'!G$42,99,FALSE)</f>
        <v>3.1291144844722125E-2</v>
      </c>
      <c r="AX49">
        <f>_xlfn.HYPGEOM.DIST($A5,$C$5,'Benchmarks by Card Role'!H$42,99,FALSE)</f>
        <v>4.1042152944482227E-2</v>
      </c>
      <c r="AY49">
        <f>_xlfn.HYPGEOM.DIST($A5,$C$5,'Benchmarks by Card Role'!I$42,99,FALSE)</f>
        <v>5.211398955276119E-2</v>
      </c>
      <c r="AZ49">
        <f>_xlfn.HYPGEOM.DIST($A5,$C$5,'Benchmarks by Card Role'!J$42,99,FALSE)</f>
        <v>6.4376104741646192E-2</v>
      </c>
      <c r="BA49">
        <f>_xlfn.HYPGEOM.DIST($A5,$C$5,'Benchmarks by Card Role'!K$42,99,FALSE)</f>
        <v>7.7660062862938223E-2</v>
      </c>
      <c r="BB49">
        <f>_xlfn.HYPGEOM.DIST($A5,$C$5,'Benchmarks by Card Role'!L$42,99,FALSE)</f>
        <v>9.1766988091053117E-2</v>
      </c>
    </row>
    <row r="50" spans="6:54" x14ac:dyDescent="0.25">
      <c r="F50">
        <f>_xlfn.HYPGEOM.DIST($A6,$C$5,'Benchmarks by Card Role'!D$2,99,FALSE)</f>
        <v>0.15400803901403082</v>
      </c>
      <c r="G50">
        <f>_xlfn.HYPGEOM.DIST($A6,$C$5,'Benchmarks by Card Role'!E$2,99,FALSE)</f>
        <v>0.16632868213515323</v>
      </c>
      <c r="H50">
        <f>_xlfn.HYPGEOM.DIST($A6,$C$5,'Benchmarks by Card Role'!F$2,99,FALSE)</f>
        <v>0.17819605744914407</v>
      </c>
      <c r="I50">
        <f>_xlfn.HYPGEOM.DIST($A6,$C$5,'Benchmarks by Card Role'!G$2,99,FALSE)</f>
        <v>0.18945463188492873</v>
      </c>
      <c r="J50">
        <f>_xlfn.HYPGEOM.DIST($A6,$C$5,'Benchmarks by Card Role'!H$2,99,FALSE)</f>
        <v>0.19995744729859202</v>
      </c>
      <c r="K50">
        <f>_xlfn.HYPGEOM.DIST($A6,$C$5,'Benchmarks by Card Role'!I$2,99,FALSE)</f>
        <v>0.20956877705380156</v>
      </c>
      <c r="L50">
        <f>_xlfn.HYPGEOM.DIST($A6,$C$5,'Benchmarks by Card Role'!J$2,99,FALSE)</f>
        <v>0.21816647047139326</v>
      </c>
      <c r="M50">
        <f>_xlfn.HYPGEOM.DIST($A6,$C$5,'Benchmarks by Card Role'!K$2,99,FALSE)</f>
        <v>0.22564395030609807</v>
      </c>
      <c r="N50">
        <f>_xlfn.HYPGEOM.DIST($A6,$C$5,'Benchmarks by Card Role'!L$2,99,FALSE)</f>
        <v>0.23191183781460109</v>
      </c>
      <c r="P50">
        <f>_xlfn.HYPGEOM.DIST($A6,$C$5,'Benchmarks by Card Role'!D$12,99,FALSE)</f>
        <v>1.9902369328921986E-4</v>
      </c>
      <c r="Q50">
        <f>_xlfn.HYPGEOM.DIST($A6,$C$5,'Benchmarks by Card Role'!E$12,99,FALSE)</f>
        <v>4.9034822984300535E-4</v>
      </c>
      <c r="R50">
        <f>_xlfn.HYPGEOM.DIST($A6,$C$5,'Benchmarks by Card Role'!F$12,99,FALSE)</f>
        <v>1.0184155542893195E-3</v>
      </c>
      <c r="S50">
        <f>_xlfn.HYPGEOM.DIST($A6,$C$5,'Benchmarks by Card Role'!G$12,99,FALSE)</f>
        <v>1.8784109112447447E-3</v>
      </c>
      <c r="T50">
        <f>_xlfn.HYPGEOM.DIST($A6,$C$5,'Benchmarks by Card Role'!H$12,99,FALSE)</f>
        <v>3.1728963332261391E-3</v>
      </c>
      <c r="U50">
        <f>_xlfn.HYPGEOM.DIST($A6,$C$5,'Benchmarks by Card Role'!I$12,99,FALSE)</f>
        <v>5.0065831751555387E-3</v>
      </c>
      <c r="V50">
        <f>_xlfn.HYPGEOM.DIST($A6,$C$5,'Benchmarks by Card Role'!J$12,99,FALSE)</f>
        <v>7.4811012962094177E-3</v>
      </c>
      <c r="W50">
        <f>_xlfn.HYPGEOM.DIST($A6,$C$5,'Benchmarks by Card Role'!K$12,99,FALSE)</f>
        <v>1.0690049139027925E-2</v>
      </c>
      <c r="X50">
        <f>_xlfn.HYPGEOM.DIST($A6,$C$5,'Benchmarks by Card Role'!L$12,99,FALSE)</f>
        <v>1.4714538226661963E-2</v>
      </c>
      <c r="Z50">
        <f>_xlfn.HYPGEOM.DIST($A6,$C$5,'Benchmarks by Card Role'!D$22,99,FALSE)</f>
        <v>1.9902369328921986E-4</v>
      </c>
      <c r="AA50">
        <f>_xlfn.HYPGEOM.DIST($A6,$C$5,'Benchmarks by Card Role'!E$22,99,FALSE)</f>
        <v>4.9034822984300535E-4</v>
      </c>
      <c r="AB50">
        <f>_xlfn.HYPGEOM.DIST($A6,$C$5,'Benchmarks by Card Role'!F$22,99,FALSE)</f>
        <v>1.0184155542893195E-3</v>
      </c>
      <c r="AC50">
        <f>_xlfn.HYPGEOM.DIST($A6,$C$5,'Benchmarks by Card Role'!G$22,99,FALSE)</f>
        <v>1.8784109112447447E-3</v>
      </c>
      <c r="AD50">
        <f>_xlfn.HYPGEOM.DIST($A6,$C$5,'Benchmarks by Card Role'!H$22,99,FALSE)</f>
        <v>3.1728963332261391E-3</v>
      </c>
      <c r="AE50">
        <f>_xlfn.HYPGEOM.DIST($A6,$C$5,'Benchmarks by Card Role'!I$22,99,FALSE)</f>
        <v>5.0065831751555387E-3</v>
      </c>
      <c r="AF50">
        <f>_xlfn.HYPGEOM.DIST($A6,$C$5,'Benchmarks by Card Role'!J$22,99,FALSE)</f>
        <v>7.4811012962094177E-3</v>
      </c>
      <c r="AG50">
        <f>_xlfn.HYPGEOM.DIST($A6,$C$5,'Benchmarks by Card Role'!K$22,99,FALSE)</f>
        <v>1.0690049139027925E-2</v>
      </c>
      <c r="AH50">
        <f>_xlfn.HYPGEOM.DIST($A6,$C$5,'Benchmarks by Card Role'!L$22,99,FALSE)</f>
        <v>1.4714538226661963E-2</v>
      </c>
      <c r="AJ50">
        <f>_xlfn.HYPGEOM.DIST($A6,$C$5,'Benchmarks by Card Role'!D$32,99,FALSE)</f>
        <v>0</v>
      </c>
      <c r="AK50">
        <f>_xlfn.HYPGEOM.DIST($A6,$C$5,'Benchmarks by Card Role'!E$32,99,FALSE)</f>
        <v>0</v>
      </c>
      <c r="AL50">
        <f>_xlfn.HYPGEOM.DIST($A6,$C$5,'Benchmarks by Card Role'!F$32,99,FALSE)</f>
        <v>0</v>
      </c>
      <c r="AM50">
        <f>_xlfn.HYPGEOM.DIST($A6,$C$5,'Benchmarks by Card Role'!G$32,99,FALSE)</f>
        <v>0</v>
      </c>
      <c r="AN50">
        <f>_xlfn.HYPGEOM.DIST($A6,$C$5,'Benchmarks by Card Role'!H$32,99,FALSE)</f>
        <v>0</v>
      </c>
      <c r="AO50">
        <f>_xlfn.HYPGEOM.DIST($A6,$C$5,'Benchmarks by Card Role'!I$32,99,FALSE)</f>
        <v>1.1073338722358158E-5</v>
      </c>
      <c r="AP50">
        <f>_xlfn.HYPGEOM.DIST($A6,$C$5,'Benchmarks by Card Role'!J$32,99,FALSE)</f>
        <v>6.149237035181882E-5</v>
      </c>
      <c r="AQ50">
        <f>_xlfn.HYPGEOM.DIST($A6,$C$5,'Benchmarks by Card Role'!K$32,99,FALSE)</f>
        <v>1.9902369328921986E-4</v>
      </c>
      <c r="AR50">
        <f>_xlfn.HYPGEOM.DIST($A6,$C$5,'Benchmarks by Card Role'!L$32,99,FALSE)</f>
        <v>4.9034822984300535E-4</v>
      </c>
      <c r="AT50">
        <f>_xlfn.HYPGEOM.DIST($A6,$C$5,'Benchmarks by Card Role'!D$42,99,FALSE)</f>
        <v>1.0184155542893195E-3</v>
      </c>
      <c r="AU50">
        <f>_xlfn.HYPGEOM.DIST($A6,$C$5,'Benchmarks by Card Role'!E$42,99,FALSE)</f>
        <v>1.8784109112447447E-3</v>
      </c>
      <c r="AV50">
        <f>_xlfn.HYPGEOM.DIST($A6,$C$5,'Benchmarks by Card Role'!F$42,99,FALSE)</f>
        <v>3.1728963332261391E-3</v>
      </c>
      <c r="AW50">
        <f>_xlfn.HYPGEOM.DIST($A6,$C$5,'Benchmarks by Card Role'!G$42,99,FALSE)</f>
        <v>5.0065831751555387E-3</v>
      </c>
      <c r="AX50">
        <f>_xlfn.HYPGEOM.DIST($A6,$C$5,'Benchmarks by Card Role'!H$42,99,FALSE)</f>
        <v>7.4811012962094177E-3</v>
      </c>
      <c r="AY50">
        <f>_xlfn.HYPGEOM.DIST($A6,$C$5,'Benchmarks by Card Role'!I$42,99,FALSE)</f>
        <v>1.0690049139027925E-2</v>
      </c>
      <c r="AZ50">
        <f>_xlfn.HYPGEOM.DIST($A6,$C$5,'Benchmarks by Card Role'!J$42,99,FALSE)</f>
        <v>1.4714538226661963E-2</v>
      </c>
      <c r="BA50">
        <f>_xlfn.HYPGEOM.DIST($A6,$C$5,'Benchmarks by Card Role'!K$42,99,FALSE)</f>
        <v>1.961938430221594E-2</v>
      </c>
      <c r="BB50">
        <f>_xlfn.HYPGEOM.DIST($A6,$C$5,'Benchmarks by Card Role'!L$42,99,FALSE)</f>
        <v>2.5450044697252056E-2</v>
      </c>
    </row>
    <row r="51" spans="6:54" x14ac:dyDescent="0.25">
      <c r="F51">
        <f>_xlfn.HYPGEOM.DIST($A7,$C$5,'Benchmarks by Card Role'!D$2,99,FALSE)</f>
        <v>6.7378517068638538E-2</v>
      </c>
      <c r="G51">
        <f>_xlfn.HYPGEOM.DIST($A7,$C$5,'Benchmarks by Card Role'!E$2,99,FALSE)</f>
        <v>7.7004019507015353E-2</v>
      </c>
      <c r="H51">
        <f>_xlfn.HYPGEOM.DIST($A7,$C$5,'Benchmarks by Card Role'!F$2,99,FALSE)</f>
        <v>8.7181942085334016E-2</v>
      </c>
      <c r="I51">
        <f>_xlfn.HYPGEOM.DIST($A7,$C$5,'Benchmarks by Card Role'!G$2,99,FALSE)</f>
        <v>9.7833129579922198E-2</v>
      </c>
      <c r="J51">
        <f>_xlfn.HYPGEOM.DIST($A7,$C$5,'Benchmarks by Card Role'!H$2,99,FALSE)</f>
        <v>0.10886572130701143</v>
      </c>
      <c r="K51">
        <f>_xlfn.HYPGEOM.DIST($A7,$C$5,'Benchmarks by Card Role'!I$2,99,FALSE)</f>
        <v>0.12017644559864896</v>
      </c>
      <c r="L51">
        <f>_xlfn.HYPGEOM.DIST($A7,$C$5,'Benchmarks by Card Role'!J$2,99,FALSE)</f>
        <v>0.13165218045687516</v>
      </c>
      <c r="M51">
        <f>_xlfn.HYPGEOM.DIST($A7,$C$5,'Benchmarks by Card Role'!K$2,99,FALSE)</f>
        <v>0.14317174624685208</v>
      </c>
      <c r="N51">
        <f>_xlfn.HYPGEOM.DIST($A7,$C$5,'Benchmarks by Card Role'!L$2,99,FALSE)</f>
        <v>0.15460789187640075</v>
      </c>
      <c r="P51">
        <f>_xlfn.HYPGEOM.DIST($A7,$C$5,'Benchmarks by Card Role'!D$12,99,FALSE)</f>
        <v>5.3998676473819354E-6</v>
      </c>
      <c r="Q51">
        <f>_xlfn.HYPGEOM.DIST($A7,$C$5,'Benchmarks by Card Role'!E$12,99,FALSE)</f>
        <v>2.0190809464123763E-5</v>
      </c>
      <c r="R51">
        <f>_xlfn.HYPGEOM.DIST($A7,$C$5,'Benchmarks by Card Role'!F$12,99,FALSE)</f>
        <v>5.6578641904962235E-5</v>
      </c>
      <c r="S51">
        <f>_xlfn.HYPGEOM.DIST($A7,$C$5,'Benchmarks by Card Role'!G$12,99,FALSE)</f>
        <v>1.3201683111157834E-4</v>
      </c>
      <c r="T51">
        <f>_xlfn.HYPGEOM.DIST($A7,$C$5,'Benchmarks by Card Role'!H$12,99,FALSE)</f>
        <v>2.7085700405589088E-4</v>
      </c>
      <c r="U51">
        <f>_xlfn.HYPGEOM.DIST($A7,$C$5,'Benchmarks by Card Role'!I$12,99,FALSE)</f>
        <v>5.0477896210415828E-4</v>
      </c>
      <c r="V51">
        <f>_xlfn.HYPGEOM.DIST($A7,$C$5,'Benchmarks by Card Role'!J$12,99,FALSE)</f>
        <v>8.7279515122443249E-4</v>
      </c>
      <c r="W51">
        <f>_xlfn.HYPGEOM.DIST($A7,$C$5,'Benchmarks by Card Role'!K$12,99,FALSE)</f>
        <v>1.4208293159467525E-3</v>
      </c>
      <c r="X51">
        <f>_xlfn.HYPGEOM.DIST($A7,$C$5,'Benchmarks by Card Role'!L$12,99,FALSE)</f>
        <v>2.2008924697998716E-3</v>
      </c>
      <c r="Z51">
        <f>_xlfn.HYPGEOM.DIST($A7,$C$5,'Benchmarks by Card Role'!D$22,99,FALSE)</f>
        <v>5.3998676473819354E-6</v>
      </c>
      <c r="AA51">
        <f>_xlfn.HYPGEOM.DIST($A7,$C$5,'Benchmarks by Card Role'!E$22,99,FALSE)</f>
        <v>2.0190809464123763E-5</v>
      </c>
      <c r="AB51">
        <f>_xlfn.HYPGEOM.DIST($A7,$C$5,'Benchmarks by Card Role'!F$22,99,FALSE)</f>
        <v>5.6578641904962235E-5</v>
      </c>
      <c r="AC51">
        <f>_xlfn.HYPGEOM.DIST($A7,$C$5,'Benchmarks by Card Role'!G$22,99,FALSE)</f>
        <v>1.3201683111157834E-4</v>
      </c>
      <c r="AD51">
        <f>_xlfn.HYPGEOM.DIST($A7,$C$5,'Benchmarks by Card Role'!H$22,99,FALSE)</f>
        <v>2.7085700405589088E-4</v>
      </c>
      <c r="AE51">
        <f>_xlfn.HYPGEOM.DIST($A7,$C$5,'Benchmarks by Card Role'!I$22,99,FALSE)</f>
        <v>5.0477896210415828E-4</v>
      </c>
      <c r="AF51">
        <f>_xlfn.HYPGEOM.DIST($A7,$C$5,'Benchmarks by Card Role'!J$22,99,FALSE)</f>
        <v>8.7279515122443249E-4</v>
      </c>
      <c r="AG51">
        <f>_xlfn.HYPGEOM.DIST($A7,$C$5,'Benchmarks by Card Role'!K$22,99,FALSE)</f>
        <v>1.4208293159467525E-3</v>
      </c>
      <c r="AH51">
        <f>_xlfn.HYPGEOM.DIST($A7,$C$5,'Benchmarks by Card Role'!L$22,99,FALSE)</f>
        <v>2.2008924697998716E-3</v>
      </c>
      <c r="AJ51">
        <f>_xlfn.HYPGEOM.DIST($A7,$C$5,'Benchmarks by Card Role'!D$32,99,FALSE)</f>
        <v>0</v>
      </c>
      <c r="AK51">
        <f>_xlfn.HYPGEOM.DIST($A7,$C$5,'Benchmarks by Card Role'!E$32,99,FALSE)</f>
        <v>0</v>
      </c>
      <c r="AL51">
        <f>_xlfn.HYPGEOM.DIST($A7,$C$5,'Benchmarks by Card Role'!F$32,99,FALSE)</f>
        <v>0</v>
      </c>
      <c r="AM51">
        <f>_xlfn.HYPGEOM.DIST($A7,$C$5,'Benchmarks by Card Role'!G$32,99,FALSE)</f>
        <v>0</v>
      </c>
      <c r="AN51">
        <f>_xlfn.HYPGEOM.DIST($A7,$C$5,'Benchmarks by Card Role'!H$32,99,FALSE)</f>
        <v>0</v>
      </c>
      <c r="AO51">
        <f>_xlfn.HYPGEOM.DIST($A7,$C$5,'Benchmarks by Card Role'!I$32,99,FALSE)</f>
        <v>0</v>
      </c>
      <c r="AP51">
        <f>_xlfn.HYPGEOM.DIST($A7,$C$5,'Benchmarks by Card Role'!J$32,99,FALSE)</f>
        <v>8.2461033038837435E-7</v>
      </c>
      <c r="AQ51">
        <f>_xlfn.HYPGEOM.DIST($A7,$C$5,'Benchmarks by Card Role'!K$32,99,FALSE)</f>
        <v>5.3998676473819354E-6</v>
      </c>
      <c r="AR51">
        <f>_xlfn.HYPGEOM.DIST($A7,$C$5,'Benchmarks by Card Role'!L$32,99,FALSE)</f>
        <v>2.0190809464123763E-5</v>
      </c>
      <c r="AT51">
        <f>_xlfn.HYPGEOM.DIST($A7,$C$5,'Benchmarks by Card Role'!D$42,99,FALSE)</f>
        <v>5.6578641904962235E-5</v>
      </c>
      <c r="AU51">
        <f>_xlfn.HYPGEOM.DIST($A7,$C$5,'Benchmarks by Card Role'!E$42,99,FALSE)</f>
        <v>1.3201683111157834E-4</v>
      </c>
      <c r="AV51">
        <f>_xlfn.HYPGEOM.DIST($A7,$C$5,'Benchmarks by Card Role'!F$42,99,FALSE)</f>
        <v>2.7085700405589088E-4</v>
      </c>
      <c r="AW51">
        <f>_xlfn.HYPGEOM.DIST($A7,$C$5,'Benchmarks by Card Role'!G$42,99,FALSE)</f>
        <v>5.0477896210415828E-4</v>
      </c>
      <c r="AX51">
        <f>_xlfn.HYPGEOM.DIST($A7,$C$5,'Benchmarks by Card Role'!H$42,99,FALSE)</f>
        <v>8.7279515122443249E-4</v>
      </c>
      <c r="AY51">
        <f>_xlfn.HYPGEOM.DIST($A7,$C$5,'Benchmarks by Card Role'!I$42,99,FALSE)</f>
        <v>1.4208293159467525E-3</v>
      </c>
      <c r="AZ51">
        <f>_xlfn.HYPGEOM.DIST($A7,$C$5,'Benchmarks by Card Role'!J$42,99,FALSE)</f>
        <v>2.2008924697998716E-3</v>
      </c>
      <c r="BA51">
        <f>_xlfn.HYPGEOM.DIST($A7,$C$5,'Benchmarks by Card Role'!K$42,99,FALSE)</f>
        <v>3.2698973837026624E-3</v>
      </c>
      <c r="BB51">
        <f>_xlfn.HYPGEOM.DIST($A7,$C$5,'Benchmarks by Card Role'!L$42,99,FALSE)</f>
        <v>4.6881661284411654E-3</v>
      </c>
    </row>
    <row r="52" spans="6:54" x14ac:dyDescent="0.25">
      <c r="F52">
        <f>_xlfn.HYPGEOM.DIST($A8,$C$5,'Benchmarks by Card Role'!D$2,99,FALSE)</f>
        <v>2.0435682099938745E-2</v>
      </c>
      <c r="G52">
        <f>_xlfn.HYPGEOM.DIST($A8,$C$5,'Benchmarks by Card Role'!E$2,99,FALSE)</f>
        <v>2.4751291984397805E-2</v>
      </c>
      <c r="H52">
        <f>_xlfn.HYPGEOM.DIST($A8,$C$5,'Benchmarks by Card Role'!F$2,99,FALSE)</f>
        <v>2.9653721797732662E-2</v>
      </c>
      <c r="I52">
        <f>_xlfn.HYPGEOM.DIST($A8,$C$5,'Benchmarks by Card Role'!G$2,99,FALSE)</f>
        <v>3.5165825378958217E-2</v>
      </c>
      <c r="J52">
        <f>_xlfn.HYPGEOM.DIST($A8,$C$5,'Benchmarks by Card Role'!H$2,99,FALSE)</f>
        <v>4.1302685835446912E-2</v>
      </c>
      <c r="K52">
        <f>_xlfn.HYPGEOM.DIST($A8,$C$5,'Benchmarks by Card Role'!I$2,99,FALSE)</f>
        <v>4.8070578239459559E-2</v>
      </c>
      <c r="L52">
        <f>_xlfn.HYPGEOM.DIST($A8,$C$5,'Benchmarks by Card Role'!J$2,99,FALSE)</f>
        <v>5.5466051814761025E-2</v>
      </c>
      <c r="M52">
        <f>_xlfn.HYPGEOM.DIST($A8,$C$5,'Benchmarks by Card Role'!K$2,99,FALSE)</f>
        <v>6.3475158434564916E-2</v>
      </c>
      <c r="N52">
        <f>_xlfn.HYPGEOM.DIST($A8,$C$5,'Benchmarks by Card Role'!L$2,99,FALSE)</f>
        <v>7.2072851852156755E-2</v>
      </c>
      <c r="P52">
        <f>_xlfn.HYPGEOM.DIST($A8,$C$5,'Benchmarks by Card Role'!D$12,99,FALSE)</f>
        <v>5.3200666476669201E-8</v>
      </c>
      <c r="Q52">
        <f>_xlfn.HYPGEOM.DIST($A8,$C$5,'Benchmarks by Card Role'!E$12,99,FALSE)</f>
        <v>4.0247460725827973E-7</v>
      </c>
      <c r="R52">
        <f>_xlfn.HYPGEOM.DIST($A8,$C$5,'Benchmarks by Card Role'!F$12,99,FALSE)</f>
        <v>1.7116227803181857E-6</v>
      </c>
      <c r="S52">
        <f>_xlfn.HYPGEOM.DIST($A8,$C$5,'Benchmarks by Card Role'!G$12,99,FALSE)</f>
        <v>5.3884420861868795E-6</v>
      </c>
      <c r="T52">
        <f>_xlfn.HYPGEOM.DIST($A8,$C$5,'Benchmarks by Card Role'!H$12,99,FALSE)</f>
        <v>1.3985731706844595E-5</v>
      </c>
      <c r="U52">
        <f>_xlfn.HYPGEOM.DIST($A8,$C$5,'Benchmarks by Card Role'!I$12,99,FALSE)</f>
        <v>3.1658610863675481E-5</v>
      </c>
      <c r="V52">
        <f>_xlfn.HYPGEOM.DIST($A8,$C$5,'Benchmarks by Card Role'!J$12,99,FALSE)</f>
        <v>6.4651492683291328E-5</v>
      </c>
      <c r="W52">
        <f>_xlfn.HYPGEOM.DIST($A8,$C$5,'Benchmarks by Card Role'!K$12,99,FALSE)</f>
        <v>1.2178536993829285E-4</v>
      </c>
      <c r="X52">
        <f>_xlfn.HYPGEOM.DIST($A8,$C$5,'Benchmarks by Card Role'!L$12,99,FALSE)</f>
        <v>2.1491535871463432E-4</v>
      </c>
      <c r="Z52">
        <f>_xlfn.HYPGEOM.DIST($A8,$C$5,'Benchmarks by Card Role'!D$22,99,FALSE)</f>
        <v>5.3200666476669201E-8</v>
      </c>
      <c r="AA52">
        <f>_xlfn.HYPGEOM.DIST($A8,$C$5,'Benchmarks by Card Role'!E$22,99,FALSE)</f>
        <v>4.0247460725827973E-7</v>
      </c>
      <c r="AB52">
        <f>_xlfn.HYPGEOM.DIST($A8,$C$5,'Benchmarks by Card Role'!F$22,99,FALSE)</f>
        <v>1.7116227803181857E-6</v>
      </c>
      <c r="AC52">
        <f>_xlfn.HYPGEOM.DIST($A8,$C$5,'Benchmarks by Card Role'!G$22,99,FALSE)</f>
        <v>5.3884420861868795E-6</v>
      </c>
      <c r="AD52">
        <f>_xlfn.HYPGEOM.DIST($A8,$C$5,'Benchmarks by Card Role'!H$22,99,FALSE)</f>
        <v>1.3985731706844595E-5</v>
      </c>
      <c r="AE52">
        <f>_xlfn.HYPGEOM.DIST($A8,$C$5,'Benchmarks by Card Role'!I$22,99,FALSE)</f>
        <v>3.1658610863675481E-5</v>
      </c>
      <c r="AF52">
        <f>_xlfn.HYPGEOM.DIST($A8,$C$5,'Benchmarks by Card Role'!J$22,99,FALSE)</f>
        <v>6.4651492683291328E-5</v>
      </c>
      <c r="AG52">
        <f>_xlfn.HYPGEOM.DIST($A8,$C$5,'Benchmarks by Card Role'!K$22,99,FALSE)</f>
        <v>1.2178536993829285E-4</v>
      </c>
      <c r="AH52">
        <f>_xlfn.HYPGEOM.DIST($A8,$C$5,'Benchmarks by Card Role'!L$22,99,FALSE)</f>
        <v>2.1491535871463432E-4</v>
      </c>
      <c r="AJ52">
        <f>_xlfn.HYPGEOM.DIST($A8,$C$5,'Benchmarks by Card Role'!D$32,99,FALSE)</f>
        <v>0</v>
      </c>
      <c r="AK52">
        <f>_xlfn.HYPGEOM.DIST($A8,$C$5,'Benchmarks by Card Role'!E$32,99,FALSE)</f>
        <v>0</v>
      </c>
      <c r="AL52">
        <f>_xlfn.HYPGEOM.DIST($A8,$C$5,'Benchmarks by Card Role'!F$32,99,FALSE)</f>
        <v>0</v>
      </c>
      <c r="AM52">
        <f>_xlfn.HYPGEOM.DIST($A8,$C$5,'Benchmarks by Card Role'!G$32,99,FALSE)</f>
        <v>0</v>
      </c>
      <c r="AN52">
        <f>_xlfn.HYPGEOM.DIST($A8,$C$5,'Benchmarks by Card Role'!H$32,99,FALSE)</f>
        <v>0</v>
      </c>
      <c r="AO52">
        <f>_xlfn.HYPGEOM.DIST($A8,$C$5,'Benchmarks by Card Role'!I$32,99,FALSE)</f>
        <v>0</v>
      </c>
      <c r="AP52">
        <f>_xlfn.HYPGEOM.DIST($A8,$C$5,'Benchmarks by Card Role'!J$32,99,FALSE)</f>
        <v>0</v>
      </c>
      <c r="AQ52">
        <f>_xlfn.HYPGEOM.DIST($A8,$C$5,'Benchmarks by Card Role'!K$32,99,FALSE)</f>
        <v>5.3200666476669201E-8</v>
      </c>
      <c r="AR52">
        <f>_xlfn.HYPGEOM.DIST($A8,$C$5,'Benchmarks by Card Role'!L$32,99,FALSE)</f>
        <v>4.0247460725827973E-7</v>
      </c>
      <c r="AT52">
        <f>_xlfn.HYPGEOM.DIST($A8,$C$5,'Benchmarks by Card Role'!D$42,99,FALSE)</f>
        <v>1.7116227803181857E-6</v>
      </c>
      <c r="AU52">
        <f>_xlfn.HYPGEOM.DIST($A8,$C$5,'Benchmarks by Card Role'!E$42,99,FALSE)</f>
        <v>5.3884420861868795E-6</v>
      </c>
      <c r="AV52">
        <f>_xlfn.HYPGEOM.DIST($A8,$C$5,'Benchmarks by Card Role'!F$42,99,FALSE)</f>
        <v>1.3985731706844595E-5</v>
      </c>
      <c r="AW52">
        <f>_xlfn.HYPGEOM.DIST($A8,$C$5,'Benchmarks by Card Role'!G$42,99,FALSE)</f>
        <v>3.1658610863675481E-5</v>
      </c>
      <c r="AX52">
        <f>_xlfn.HYPGEOM.DIST($A8,$C$5,'Benchmarks by Card Role'!H$42,99,FALSE)</f>
        <v>6.4651492683291328E-5</v>
      </c>
      <c r="AY52">
        <f>_xlfn.HYPGEOM.DIST($A8,$C$5,'Benchmarks by Card Role'!I$42,99,FALSE)</f>
        <v>1.2178536993829285E-4</v>
      </c>
      <c r="AZ52">
        <f>_xlfn.HYPGEOM.DIST($A8,$C$5,'Benchmarks by Card Role'!J$42,99,FALSE)</f>
        <v>2.1491535871463432E-4</v>
      </c>
      <c r="BA52">
        <f>_xlfn.HYPGEOM.DIST($A8,$C$5,'Benchmarks by Card Role'!K$42,99,FALSE)</f>
        <v>3.5932938282446844E-4</v>
      </c>
      <c r="BB52">
        <f>_xlfn.HYPGEOM.DIST($A8,$C$5,'Benchmarks by Card Role'!L$42,99,FALSE)</f>
        <v>5.740611585846316E-4</v>
      </c>
    </row>
    <row r="53" spans="6:54" x14ac:dyDescent="0.25">
      <c r="F53">
        <f>_xlfn.HYPGEOM.DIST($A9,$C$5,'Benchmarks by Card Role'!D$2,99,FALSE)</f>
        <v>4.2574337708205607E-3</v>
      </c>
      <c r="G53">
        <f>_xlfn.HYPGEOM.DIST($A9,$C$5,'Benchmarks by Card Role'!E$2,99,FALSE)</f>
        <v>5.4738434196264429E-3</v>
      </c>
      <c r="H53">
        <f>_xlfn.HYPGEOM.DIST($A9,$C$5,'Benchmarks by Card Role'!F$2,99,FALSE)</f>
        <v>6.950091046343595E-3</v>
      </c>
      <c r="I53">
        <f>_xlfn.HYPGEOM.DIST($A9,$C$5,'Benchmarks by Card Role'!G$2,99,FALSE)</f>
        <v>8.7216828816860693E-3</v>
      </c>
      <c r="J53">
        <f>_xlfn.HYPGEOM.DIST($A9,$C$5,'Benchmarks by Card Role'!H$2,99,FALSE)</f>
        <v>1.082530072300022E-2</v>
      </c>
      <c r="K53">
        <f>_xlfn.HYPGEOM.DIST($A9,$C$5,'Benchmarks by Card Role'!I$2,99,FALSE)</f>
        <v>1.3298213242473452E-2</v>
      </c>
      <c r="L53">
        <f>_xlfn.HYPGEOM.DIST($A9,$C$5,'Benchmarks by Card Role'!J$2,99,FALSE)</f>
        <v>1.6177598445972E-2</v>
      </c>
      <c r="M53">
        <f>_xlfn.HYPGEOM.DIST($A9,$C$5,'Benchmarks by Card Role'!K$2,99,FALSE)</f>
        <v>1.9499783841126911E-2</v>
      </c>
      <c r="N53">
        <f>_xlfn.HYPGEOM.DIST($A9,$C$5,'Benchmarks by Card Role'!L$2,99,FALSE)</f>
        <v>2.3299413314274819E-2</v>
      </c>
      <c r="P53">
        <f>_xlfn.HYPGEOM.DIST($A9,$C$5,'Benchmarks by Card Role'!D$12,99,FALSE)</f>
        <v>0</v>
      </c>
      <c r="Q53">
        <f>_xlfn.HYPGEOM.DIST($A9,$C$5,'Benchmarks by Card Role'!E$12,99,FALSE)</f>
        <v>2.8913405693842003E-9</v>
      </c>
      <c r="R53">
        <f>_xlfn.HYPGEOM.DIST($A9,$C$5,'Benchmarks by Card Role'!F$12,99,FALSE)</f>
        <v>2.4878238086020079E-8</v>
      </c>
      <c r="S53">
        <f>_xlfn.HYPGEOM.DIST($A9,$C$5,'Benchmarks by Card Role'!G$12,99,FALSE)</f>
        <v>1.1886269307765204E-7</v>
      </c>
      <c r="T53">
        <f>_xlfn.HYPGEOM.DIST($A9,$C$5,'Benchmarks by Card Role'!H$12,99,FALSE)</f>
        <v>4.1624201508466023E-7</v>
      </c>
      <c r="U53">
        <f>_xlfn.HYPGEOM.DIST($A9,$C$5,'Benchmarks by Card Role'!I$12,99,FALSE)</f>
        <v>1.1919657704697095E-6</v>
      </c>
      <c r="V53">
        <f>_xlfn.HYPGEOM.DIST($A9,$C$5,'Benchmarks by Card Role'!J$12,99,FALSE)</f>
        <v>2.9566231410041722E-6</v>
      </c>
      <c r="W53">
        <f>_xlfn.HYPGEOM.DIST($A9,$C$5,'Benchmarks by Card Role'!K$12,99,FALSE)</f>
        <v>6.5779134997534757E-6</v>
      </c>
      <c r="X53">
        <f>_xlfn.HYPGEOM.DIST($A9,$C$5,'Benchmarks by Card Role'!L$12,99,FALSE)</f>
        <v>1.3432209919664662E-5</v>
      </c>
      <c r="Z53">
        <f>_xlfn.HYPGEOM.DIST($A9,$C$5,'Benchmarks by Card Role'!D$22,99,FALSE)</f>
        <v>0</v>
      </c>
      <c r="AA53">
        <f>_xlfn.HYPGEOM.DIST($A9,$C$5,'Benchmarks by Card Role'!E$22,99,FALSE)</f>
        <v>2.8913405693842003E-9</v>
      </c>
      <c r="AB53">
        <f>_xlfn.HYPGEOM.DIST($A9,$C$5,'Benchmarks by Card Role'!F$22,99,FALSE)</f>
        <v>2.4878238086020079E-8</v>
      </c>
      <c r="AC53">
        <f>_xlfn.HYPGEOM.DIST($A9,$C$5,'Benchmarks by Card Role'!G$22,99,FALSE)</f>
        <v>1.1886269307765204E-7</v>
      </c>
      <c r="AD53">
        <f>_xlfn.HYPGEOM.DIST($A9,$C$5,'Benchmarks by Card Role'!H$22,99,FALSE)</f>
        <v>4.1624201508466023E-7</v>
      </c>
      <c r="AE53">
        <f>_xlfn.HYPGEOM.DIST($A9,$C$5,'Benchmarks by Card Role'!I$22,99,FALSE)</f>
        <v>1.1919657704697095E-6</v>
      </c>
      <c r="AF53">
        <f>_xlfn.HYPGEOM.DIST($A9,$C$5,'Benchmarks by Card Role'!J$22,99,FALSE)</f>
        <v>2.9566231410041722E-6</v>
      </c>
      <c r="AG53">
        <f>_xlfn.HYPGEOM.DIST($A9,$C$5,'Benchmarks by Card Role'!K$22,99,FALSE)</f>
        <v>6.5779134997534757E-6</v>
      </c>
      <c r="AH53">
        <f>_xlfn.HYPGEOM.DIST($A9,$C$5,'Benchmarks by Card Role'!L$22,99,FALSE)</f>
        <v>1.3432209919664662E-5</v>
      </c>
      <c r="AJ53">
        <f>_xlfn.HYPGEOM.DIST($A9,$C$5,'Benchmarks by Card Role'!D$32,99,FALSE)</f>
        <v>0</v>
      </c>
      <c r="AK53">
        <f>_xlfn.HYPGEOM.DIST($A9,$C$5,'Benchmarks by Card Role'!E$32,99,FALSE)</f>
        <v>0</v>
      </c>
      <c r="AL53">
        <f>_xlfn.HYPGEOM.DIST($A9,$C$5,'Benchmarks by Card Role'!F$32,99,FALSE)</f>
        <v>0</v>
      </c>
      <c r="AM53">
        <f>_xlfn.HYPGEOM.DIST($A9,$C$5,'Benchmarks by Card Role'!G$32,99,FALSE)</f>
        <v>0</v>
      </c>
      <c r="AN53">
        <f>_xlfn.HYPGEOM.DIST($A9,$C$5,'Benchmarks by Card Role'!H$32,99,FALSE)</f>
        <v>0</v>
      </c>
      <c r="AO53">
        <f>_xlfn.HYPGEOM.DIST($A9,$C$5,'Benchmarks by Card Role'!I$32,99,FALSE)</f>
        <v>0</v>
      </c>
      <c r="AP53">
        <f>_xlfn.HYPGEOM.DIST($A9,$C$5,'Benchmarks by Card Role'!J$32,99,FALSE)</f>
        <v>0</v>
      </c>
      <c r="AQ53">
        <f>_xlfn.HYPGEOM.DIST($A9,$C$5,'Benchmarks by Card Role'!K$32,99,FALSE)</f>
        <v>0</v>
      </c>
      <c r="AR53">
        <f>_xlfn.HYPGEOM.DIST($A9,$C$5,'Benchmarks by Card Role'!L$32,99,FALSE)</f>
        <v>2.8913405693842003E-9</v>
      </c>
      <c r="AT53">
        <f>_xlfn.HYPGEOM.DIST($A9,$C$5,'Benchmarks by Card Role'!D$42,99,FALSE)</f>
        <v>2.4878238086020079E-8</v>
      </c>
      <c r="AU53">
        <f>_xlfn.HYPGEOM.DIST($A9,$C$5,'Benchmarks by Card Role'!E$42,99,FALSE)</f>
        <v>1.1886269307765204E-7</v>
      </c>
      <c r="AV53">
        <f>_xlfn.HYPGEOM.DIST($A9,$C$5,'Benchmarks by Card Role'!F$42,99,FALSE)</f>
        <v>4.1624201508466023E-7</v>
      </c>
      <c r="AW53">
        <f>_xlfn.HYPGEOM.DIST($A9,$C$5,'Benchmarks by Card Role'!G$42,99,FALSE)</f>
        <v>1.1919657704697095E-6</v>
      </c>
      <c r="AX53">
        <f>_xlfn.HYPGEOM.DIST($A9,$C$5,'Benchmarks by Card Role'!H$42,99,FALSE)</f>
        <v>2.9566231410041722E-6</v>
      </c>
      <c r="AY53">
        <f>_xlfn.HYPGEOM.DIST($A9,$C$5,'Benchmarks by Card Role'!I$42,99,FALSE)</f>
        <v>6.5779134997534757E-6</v>
      </c>
      <c r="AZ53">
        <f>_xlfn.HYPGEOM.DIST($A9,$C$5,'Benchmarks by Card Role'!J$42,99,FALSE)</f>
        <v>1.3432209919664662E-5</v>
      </c>
      <c r="BA53">
        <f>_xlfn.HYPGEOM.DIST($A9,$C$5,'Benchmarks by Card Role'!K$42,99,FALSE)</f>
        <v>2.5585161751742202E-5</v>
      </c>
      <c r="BB53">
        <f>_xlfn.HYPGEOM.DIST($A9,$C$5,'Benchmarks by Card Role'!L$42,99,FALSE)</f>
        <v>4.5998490271204591E-5</v>
      </c>
    </row>
    <row r="54" spans="6:54" x14ac:dyDescent="0.25">
      <c r="F54">
        <f>SUM(F45*$A$1,F46*$A$2,F47*$A$3,F48*$A$4,F49*$A$5,F50*$A$6,F51*$A$7,F52*$A$8,F53*$A$9)</f>
        <v>3.5092610419892809</v>
      </c>
      <c r="G54">
        <f t="shared" ref="G54" si="66">SUM(G45*$A$1,G46*$A$2,G47*$A$3,G48*$A$4,G49*$A$5,G50*$A$6,G51*$A$7,G52*$A$8,G53*$A$9)</f>
        <v>3.6282566757426093</v>
      </c>
      <c r="H54">
        <f t="shared" ref="H54" si="67">SUM(H45*$A$1,H46*$A$2,H47*$A$3,H48*$A$4,H49*$A$5,H50*$A$6,H51*$A$7,H52*$A$8,H53*$A$9)</f>
        <v>3.7465753510826922</v>
      </c>
      <c r="I54">
        <f t="shared" ref="I54" si="68">SUM(I45*$A$1,I46*$A$2,I47*$A$3,I48*$A$4,I49*$A$5,I50*$A$6,I51*$A$7,I52*$A$8,I53*$A$9)</f>
        <v>3.8640564851634154</v>
      </c>
      <c r="J54">
        <f t="shared" ref="J54" si="69">SUM(J45*$A$1,J46*$A$2,J47*$A$3,J48*$A$4,J49*$A$5,J50*$A$6,J51*$A$7,J52*$A$8,J53*$A$9)</f>
        <v>3.9805124960696139</v>
      </c>
      <c r="K54">
        <f t="shared" ref="K54" si="70">SUM(K45*$A$1,K46*$A$2,K47*$A$3,K48*$A$4,K49*$A$5,K50*$A$6,K51*$A$7,K52*$A$8,K53*$A$9)</f>
        <v>4.0957264067922825</v>
      </c>
      <c r="L54">
        <f t="shared" ref="L54" si="71">SUM(L45*$A$1,L46*$A$2,L47*$A$3,L48*$A$4,L49*$A$5,L50*$A$6,L51*$A$7,L52*$A$8,L53*$A$9)</f>
        <v>4.2094495821813886</v>
      </c>
      <c r="M54">
        <f t="shared" ref="M54" si="72">SUM(M45*$A$1,M46*$A$2,M47*$A$3,M48*$A$4,M49*$A$5,M50*$A$6,M51*$A$7,M52*$A$8,M53*$A$9)</f>
        <v>4.3213996624715003</v>
      </c>
      <c r="N54">
        <f t="shared" ref="N54" si="73">SUM(N45*$A$1,N46*$A$2,N47*$A$3,N48*$A$4,N49*$A$5,N50*$A$6,N51*$A$7,N52*$A$8,N53*$A$9)</f>
        <v>4.4312587606495484</v>
      </c>
      <c r="P54">
        <f>SUM(P45*$A$1,P46*$A$2,P47*$A$3,P48*$A$4,P49*$A$5,P50*$A$6,P51*$A$7,P52*$A$8,P53*$A$9)</f>
        <v>0.8484848484848484</v>
      </c>
      <c r="Q54">
        <f t="shared" ref="Q54" si="74">SUM(Q45*$A$1,Q46*$A$2,Q47*$A$3,Q48*$A$4,Q49*$A$5,Q50*$A$6,Q51*$A$7,Q52*$A$8,Q53*$A$9)</f>
        <v>0.96969696969696961</v>
      </c>
      <c r="R54">
        <f t="shared" ref="R54" si="75">SUM(R45*$A$1,R46*$A$2,R47*$A$3,R48*$A$4,R49*$A$5,R50*$A$6,R51*$A$7,R52*$A$8,R53*$A$9)</f>
        <v>1.0909090897652636</v>
      </c>
      <c r="S54">
        <f t="shared" ref="S54" si="76">SUM(S45*$A$1,S46*$A$2,S47*$A$3,S48*$A$4,S49*$A$5,S50*$A$6,S51*$A$7,S52*$A$8,S53*$A$9)</f>
        <v>1.2121212010218536</v>
      </c>
      <c r="T54">
        <f t="shared" ref="T54" si="77">SUM(T45*$A$1,T46*$A$2,T47*$A$3,T48*$A$4,T49*$A$5,T50*$A$6,T51*$A$7,T52*$A$8,T53*$A$9)</f>
        <v>1.3333332741131758</v>
      </c>
      <c r="U54">
        <f t="shared" ref="U54" si="78">SUM(U45*$A$1,U46*$A$2,U47*$A$3,U48*$A$4,U49*$A$5,U50*$A$6,U51*$A$7,U52*$A$8,U53*$A$9)</f>
        <v>1.4545452248208472</v>
      </c>
      <c r="V54">
        <f t="shared" ref="V54" si="79">SUM(V45*$A$1,V46*$A$2,V47*$A$3,V48*$A$4,V49*$A$5,V50*$A$6,V51*$A$7,V52*$A$8,V53*$A$9)</f>
        <v>1.57575685192971</v>
      </c>
      <c r="W54">
        <f t="shared" ref="W54:X54" si="80">SUM(W45*$A$1,W46*$A$2,W47*$A$3,W48*$A$4,W49*$A$5,W50*$A$6,W51*$A$7,W52*$A$8,W53*$A$9)</f>
        <v>1.6969677326978574</v>
      </c>
      <c r="X54">
        <f t="shared" si="80"/>
        <v>1.8181770603288134</v>
      </c>
      <c r="Z54">
        <f>SUM(Z45*$A$1,Z46*$A$2,Z47*$A$3,Z48*$A$4,Z49*$A$5,Z50*$A$6,Z51*$A$7,Z52*$A$8,Z53*$A$9)</f>
        <v>0.8484848484848484</v>
      </c>
      <c r="AA54">
        <f t="shared" ref="AA54:AH54" si="81">SUM(AA45*$A$1,AA46*$A$2,AA47*$A$3,AA48*$A$4,AA49*$A$5,AA50*$A$6,AA51*$A$7,AA52*$A$8,AA53*$A$9)</f>
        <v>0.96969696969696961</v>
      </c>
      <c r="AB54">
        <f t="shared" si="81"/>
        <v>1.0909090897652636</v>
      </c>
      <c r="AC54">
        <f t="shared" si="81"/>
        <v>1.2121212010218536</v>
      </c>
      <c r="AD54">
        <f t="shared" si="81"/>
        <v>1.3333332741131758</v>
      </c>
      <c r="AE54">
        <f t="shared" si="81"/>
        <v>1.4545452248208472</v>
      </c>
      <c r="AF54">
        <f t="shared" si="81"/>
        <v>1.57575685192971</v>
      </c>
      <c r="AG54">
        <f t="shared" si="81"/>
        <v>1.6969677326978574</v>
      </c>
      <c r="AH54">
        <f t="shared" si="81"/>
        <v>1.8181770603288134</v>
      </c>
      <c r="AJ54">
        <f>SUM(AJ45*$A$1,AJ46*$A$2,AJ47*$A$3,AJ48*$A$4,AJ49*$A$5,AJ50*$A$6,AJ51*$A$7,AJ52*$A$8,AJ53*$A$9)</f>
        <v>0</v>
      </c>
      <c r="AK54">
        <f t="shared" ref="AK54:AR54" si="82">SUM(AK45*$A$1,AK46*$A$2,AK47*$A$3,AK48*$A$4,AK49*$A$5,AK50*$A$6,AK51*$A$7,AK52*$A$8,AK53*$A$9)</f>
        <v>0.12121212121212119</v>
      </c>
      <c r="AL54">
        <f t="shared" si="82"/>
        <v>0.24242424242424238</v>
      </c>
      <c r="AM54">
        <f t="shared" si="82"/>
        <v>0.36363636363636365</v>
      </c>
      <c r="AN54">
        <f t="shared" si="82"/>
        <v>0.4848484848484847</v>
      </c>
      <c r="AO54">
        <f t="shared" si="82"/>
        <v>0.60606060606060597</v>
      </c>
      <c r="AP54">
        <f t="shared" si="82"/>
        <v>0.7272727272727274</v>
      </c>
      <c r="AQ54">
        <f t="shared" si="82"/>
        <v>0.8484848484848484</v>
      </c>
      <c r="AR54">
        <f t="shared" si="82"/>
        <v>0.96969696969696961</v>
      </c>
      <c r="AT54">
        <f>SUM(AT45*$A$1,AT46*$A$2,AT47*$A$3,AT48*$A$4,AT49*$A$5,AT50*$A$6,AT51*$A$7,AT52*$A$8,AT53*$A$9)</f>
        <v>1.0909090897652636</v>
      </c>
      <c r="AU54">
        <f t="shared" ref="AU54:BB54" si="83">SUM(AU45*$A$1,AU46*$A$2,AU47*$A$3,AU48*$A$4,AU49*$A$5,AU50*$A$6,AU51*$A$7,AU52*$A$8,AU53*$A$9)</f>
        <v>1.2121212010218536</v>
      </c>
      <c r="AV54">
        <f t="shared" si="83"/>
        <v>1.3333332741131758</v>
      </c>
      <c r="AW54">
        <f t="shared" si="83"/>
        <v>1.4545452248208472</v>
      </c>
      <c r="AX54">
        <f t="shared" si="83"/>
        <v>1.57575685192971</v>
      </c>
      <c r="AY54">
        <f t="shared" si="83"/>
        <v>1.6969677326978574</v>
      </c>
      <c r="AZ54">
        <f t="shared" si="83"/>
        <v>1.8181770603288134</v>
      </c>
      <c r="BA54">
        <f t="shared" si="83"/>
        <v>1.9393834061828936</v>
      </c>
      <c r="BB54">
        <f t="shared" si="83"/>
        <v>2.0605843884006556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Hypergeometric Calculator</vt:lpstr>
      <vt:lpstr>Benchmarks by Card Role</vt:lpstr>
      <vt:lpstr>Land Types</vt:lpstr>
      <vt:lpstr>Mana Curve</vt:lpstr>
      <vt:lpstr>Deck 1 - Superfriends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Statsfinity</dc:creator>
  <cp:lastModifiedBy>Statsfinity</cp:lastModifiedBy>
  <dcterms:created xsi:type="dcterms:W3CDTF">2015-06-05T18:19:34Z</dcterms:created>
  <dcterms:modified xsi:type="dcterms:W3CDTF">2023-09-05T16:33:38Z</dcterms:modified>
</cp:coreProperties>
</file>